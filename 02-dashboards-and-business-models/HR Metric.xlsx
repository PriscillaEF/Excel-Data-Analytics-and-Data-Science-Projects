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PLOSIVE PRISCIIIII\Downloads\"/>
    </mc:Choice>
  </mc:AlternateContent>
  <xr:revisionPtr revIDLastSave="0" documentId="13_ncr:1_{CCE2ED3C-1FAF-4732-936B-5AAC26F8A921}" xr6:coauthVersionLast="47" xr6:coauthVersionMax="47" xr10:uidLastSave="{00000000-0000-0000-0000-000000000000}"/>
  <bookViews>
    <workbookView xWindow="-108" yWindow="-108" windowWidth="23256" windowHeight="12456" activeTab="1" xr2:uid="{23939282-6926-4431-A5FA-59E479711890}"/>
  </bookViews>
  <sheets>
    <sheet name="Calculations" sheetId="1" r:id="rId1"/>
    <sheet name="KPI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6" i="1" s="1"/>
  <c r="P21" i="1"/>
  <c r="O21" i="1"/>
  <c r="N21" i="1"/>
  <c r="M21" i="1"/>
  <c r="L21" i="1"/>
  <c r="K21" i="1"/>
  <c r="J21" i="1"/>
  <c r="I21" i="1"/>
  <c r="H21" i="1"/>
  <c r="G21" i="1"/>
  <c r="F21" i="1"/>
  <c r="E21" i="1"/>
  <c r="R6" i="1" l="1"/>
  <c r="Q7" i="1"/>
  <c r="R17" i="1"/>
  <c r="R9" i="1"/>
  <c r="Q21" i="1"/>
  <c r="R16" i="1"/>
  <c r="R8" i="1"/>
  <c r="R15" i="1"/>
  <c r="R7" i="1"/>
  <c r="R13" i="1"/>
  <c r="R20" i="1"/>
  <c r="R12" i="1"/>
  <c r="R19" i="1"/>
  <c r="R11" i="1"/>
  <c r="R18" i="1"/>
  <c r="R14" i="1"/>
  <c r="R10" i="1"/>
  <c r="R21" i="1"/>
  <c r="Q18" i="1"/>
  <c r="K25" i="1" s="1"/>
  <c r="K26" i="1" s="1"/>
  <c r="Q14" i="1"/>
  <c r="Q10" i="1"/>
  <c r="Q17" i="1"/>
  <c r="G25" i="1" s="1"/>
  <c r="G26" i="1" s="1"/>
  <c r="Q13" i="1"/>
  <c r="Q9" i="1"/>
  <c r="Q20" i="1"/>
  <c r="Q16" i="1"/>
  <c r="C25" i="1" s="1"/>
  <c r="C26" i="1" s="1"/>
  <c r="Q12" i="1"/>
  <c r="Q8" i="1"/>
  <c r="Q19" i="1"/>
  <c r="Q15" i="1"/>
  <c r="Q11" i="1"/>
  <c r="S7" i="1" l="1"/>
  <c r="S12" i="1"/>
  <c r="S20" i="1"/>
  <c r="S8" i="1"/>
  <c r="S11" i="1"/>
  <c r="S13" i="1"/>
  <c r="S15" i="1"/>
  <c r="S16" i="1"/>
  <c r="S17" i="1"/>
  <c r="S21" i="1"/>
  <c r="S10" i="1"/>
  <c r="S19" i="1"/>
  <c r="S6" i="1"/>
  <c r="S9" i="1"/>
  <c r="S14" i="1"/>
  <c r="S18" i="1"/>
</calcChain>
</file>

<file path=xl/sharedStrings.xml><?xml version="1.0" encoding="utf-8"?>
<sst xmlns="http://schemas.openxmlformats.org/spreadsheetml/2006/main" count="46" uniqueCount="38">
  <si>
    <t>Actual</t>
  </si>
  <si>
    <t>ID</t>
  </si>
  <si>
    <t>KPI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</si>
  <si>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</si>
  <si>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</si>
  <si>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</si>
  <si>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</si>
  <si>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</si>
  <si>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</si>
  <si>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</si>
  <si>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</si>
  <si>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</si>
  <si>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</si>
  <si>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</si>
  <si>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</si>
  <si>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Selected Month</t>
  </si>
  <si>
    <t>Absence rate</t>
  </si>
  <si>
    <t>Absence cost</t>
  </si>
  <si>
    <t>Benefits satisfaction</t>
  </si>
  <si>
    <t>Productivity rate</t>
  </si>
  <si>
    <t>Satisfaction index</t>
  </si>
  <si>
    <t>Engagement index</t>
  </si>
  <si>
    <t>Internal promotion rate</t>
  </si>
  <si>
    <t>Net Promoter Score</t>
  </si>
  <si>
    <t>Quality of hire</t>
  </si>
  <si>
    <t>Turnover rate</t>
  </si>
  <si>
    <t>Progress Chart</t>
  </si>
  <si>
    <t>90-day quit rate (%)</t>
  </si>
  <si>
    <t>Training effectiveness (%)</t>
  </si>
  <si>
    <t>Acceptance Ratio (%)</t>
  </si>
  <si>
    <t>Chart</t>
  </si>
  <si>
    <t>Male</t>
  </si>
  <si>
    <t>Female</t>
  </si>
  <si>
    <t>Headcount</t>
  </si>
  <si>
    <t>Previous Month</t>
  </si>
  <si>
    <t>Variance (PM%)</t>
  </si>
  <si>
    <t>Actual value</t>
  </si>
  <si>
    <t>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</si>
</sst>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i/>
      <sz val="11"/>
      <color theme="1" tint="0.249977111117893"/>
      <name val="Segoe UI"/>
      <family val="2"/>
    </font>
    <font>
      <b/>
      <i/>
      <sz val="10"/>
      <color theme="1" tint="0.249977111117893"/>
      <name val="Segoe UI"/>
      <family val="2"/>
    </font>
    <font>
      <b/>
      <i/>
      <sz val="10"/>
      <color theme="0"/>
      <name val="Segoe UI"/>
      <family val="2"/>
    </font>
    <font>
      <i/>
      <sz val="10"/>
      <color theme="1" tint="0.34998626667073579"/>
      <name val="Segoe UI"/>
      <family val="2"/>
    </font>
    <font>
      <b/>
      <i/>
      <sz val="10"/>
      <color theme="1" tint="0.34998626667073579"/>
      <name val="Segoe UI"/>
      <family val="2"/>
    </font>
    <font>
      <i/>
      <sz val="9"/>
      <color theme="1" tint="0.249977111117893"/>
      <name val="Segoe UI"/>
      <family val="2"/>
    </font>
    <font>
      <b/>
      <i/>
      <sz val="9"/>
      <color theme="1" tint="0.249977111117893"/>
      <name val="Segoe UI"/>
      <family val="2"/>
    </font>
    <font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1" tint="0.24994659260841701"/>
      </bottom>
      <diagonal/>
    </border>
    <border>
      <left style="thin">
        <color theme="0" tint="-0.24994659260841701"/>
      </left>
      <right/>
      <top/>
      <bottom style="medium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DashDot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DashDot">
        <color indexed="64"/>
      </bottom>
      <diagonal/>
    </border>
    <border>
      <left/>
      <right/>
      <top style="thin">
        <color theme="0" tint="-0.24994659260841701"/>
      </top>
      <bottom style="mediumDashDot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DashDot">
        <color indexed="64"/>
      </bottom>
      <diagonal/>
    </border>
    <border>
      <left style="thin">
        <color rgb="FF5C6769"/>
      </left>
      <right style="thin">
        <color rgb="FF5C6769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rgb="FF5C6769"/>
      </left>
      <right style="thin">
        <color rgb="FF5C6769"/>
      </right>
      <top/>
      <bottom style="mediumDashDot">
        <color indexed="64"/>
      </bottom>
      <diagonal/>
    </border>
    <border>
      <left style="thin">
        <color rgb="FF5C6769"/>
      </left>
      <right style="thin">
        <color rgb="FF5C6769"/>
      </right>
      <top/>
      <bottom style="thin">
        <color rgb="FF5C676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3" fillId="2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6" fillId="4" borderId="5" xfId="2" applyFont="1" applyFill="1" applyBorder="1" applyAlignment="1" applyProtection="1">
      <alignment horizontal="center" vertical="center"/>
    </xf>
    <xf numFmtId="9" fontId="8" fillId="4" borderId="6" xfId="2" applyNumberFormat="1" applyFont="1" applyFill="1" applyBorder="1" applyAlignment="1" applyProtection="1">
      <alignment horizontal="center" vertical="center"/>
      <protection hidden="1"/>
    </xf>
    <xf numFmtId="9" fontId="8" fillId="4" borderId="7" xfId="2" applyNumberFormat="1" applyFont="1" applyFill="1" applyBorder="1" applyAlignment="1" applyProtection="1">
      <alignment horizontal="center" vertical="center"/>
      <protection hidden="1"/>
    </xf>
    <xf numFmtId="164" fontId="8" fillId="0" borderId="0" xfId="2" applyNumberFormat="1" applyFont="1" applyFill="1" applyBorder="1" applyAlignment="1" applyProtection="1">
      <alignment horizontal="center" vertical="center"/>
      <protection hidden="1"/>
    </xf>
    <xf numFmtId="0" fontId="6" fillId="4" borderId="6" xfId="2" applyFont="1" applyFill="1" applyBorder="1" applyAlignment="1" applyProtection="1">
      <alignment horizontal="center" vertical="center"/>
      <protection hidden="1"/>
    </xf>
    <xf numFmtId="1" fontId="8" fillId="4" borderId="6" xfId="2" applyNumberFormat="1" applyFont="1" applyFill="1" applyBorder="1" applyAlignment="1" applyProtection="1">
      <alignment horizontal="center" vertical="center"/>
      <protection hidden="1"/>
    </xf>
    <xf numFmtId="1" fontId="9" fillId="4" borderId="6" xfId="2" applyNumberFormat="1" applyFont="1" applyFill="1" applyBorder="1" applyAlignment="1" applyProtection="1">
      <alignment horizontal="center" vertical="center"/>
      <protection hidden="1"/>
    </xf>
    <xf numFmtId="1" fontId="9" fillId="4" borderId="7" xfId="2" applyNumberFormat="1" applyFont="1" applyFill="1" applyBorder="1" applyAlignment="1" applyProtection="1">
      <alignment horizontal="center" vertical="center"/>
      <protection hidden="1"/>
    </xf>
    <xf numFmtId="9" fontId="8" fillId="4" borderId="6" xfId="1" applyFont="1" applyFill="1" applyBorder="1" applyAlignment="1" applyProtection="1">
      <alignment horizontal="center" vertical="center"/>
      <protection hidden="1"/>
    </xf>
    <xf numFmtId="9" fontId="8" fillId="4" borderId="7" xfId="1" applyFont="1" applyFill="1" applyBorder="1" applyAlignment="1" applyProtection="1">
      <alignment horizontal="center" vertical="center"/>
      <protection hidden="1"/>
    </xf>
    <xf numFmtId="3" fontId="8" fillId="4" borderId="6" xfId="2" applyNumberFormat="1" applyFont="1" applyFill="1" applyBorder="1" applyAlignment="1" applyProtection="1">
      <alignment horizontal="center" vertical="center"/>
      <protection hidden="1"/>
    </xf>
    <xf numFmtId="3" fontId="8" fillId="4" borderId="7" xfId="2" applyNumberFormat="1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/>
      <protection hidden="1"/>
    </xf>
    <xf numFmtId="9" fontId="8" fillId="4" borderId="10" xfId="1" applyFont="1" applyFill="1" applyBorder="1" applyAlignment="1" applyProtection="1">
      <alignment horizontal="center" vertical="center"/>
      <protection hidden="1"/>
    </xf>
    <xf numFmtId="9" fontId="8" fillId="4" borderId="11" xfId="1" applyFont="1" applyFill="1" applyBorder="1" applyAlignment="1" applyProtection="1">
      <alignment horizontal="center" vertical="center"/>
      <protection hidden="1"/>
    </xf>
    <xf numFmtId="9" fontId="8" fillId="5" borderId="5" xfId="1" applyFont="1" applyFill="1" applyBorder="1" applyAlignment="1" applyProtection="1">
      <alignment horizontal="center" vertical="center"/>
      <protection hidden="1"/>
    </xf>
    <xf numFmtId="9" fontId="8" fillId="5" borderId="17" xfId="1" applyFont="1" applyFill="1" applyBorder="1" applyAlignment="1" applyProtection="1">
      <alignment horizontal="center" vertical="center"/>
      <protection hidden="1"/>
    </xf>
    <xf numFmtId="9" fontId="8" fillId="5" borderId="6" xfId="1" applyFont="1" applyFill="1" applyBorder="1" applyAlignment="1" applyProtection="1">
      <alignment horizontal="center" vertical="center"/>
      <protection hidden="1"/>
    </xf>
    <xf numFmtId="9" fontId="8" fillId="5" borderId="7" xfId="1" applyFont="1" applyFill="1" applyBorder="1" applyAlignment="1" applyProtection="1">
      <alignment horizontal="center" vertical="center"/>
      <protection hidden="1"/>
    </xf>
    <xf numFmtId="9" fontId="8" fillId="5" borderId="10" xfId="1" applyFont="1" applyFill="1" applyBorder="1" applyAlignment="1" applyProtection="1">
      <alignment horizontal="center" vertical="center"/>
      <protection hidden="1"/>
    </xf>
    <xf numFmtId="9" fontId="8" fillId="5" borderId="11" xfId="1" applyFont="1" applyFill="1" applyBorder="1" applyAlignment="1" applyProtection="1">
      <alignment horizontal="center" vertical="center"/>
      <protection hidden="1"/>
    </xf>
    <xf numFmtId="3" fontId="8" fillId="3" borderId="5" xfId="2" applyNumberFormat="1" applyFont="1" applyFill="1" applyBorder="1" applyAlignment="1" applyProtection="1">
      <alignment horizontal="center" vertical="center"/>
      <protection hidden="1"/>
    </xf>
    <xf numFmtId="3" fontId="8" fillId="3" borderId="17" xfId="2" applyNumberFormat="1" applyFont="1" applyFill="1" applyBorder="1" applyAlignment="1" applyProtection="1">
      <alignment horizontal="center" vertical="center"/>
      <protection hidden="1"/>
    </xf>
    <xf numFmtId="3" fontId="8" fillId="3" borderId="6" xfId="2" applyNumberFormat="1" applyFont="1" applyFill="1" applyBorder="1" applyAlignment="1" applyProtection="1">
      <alignment horizontal="center" vertical="center"/>
      <protection hidden="1"/>
    </xf>
    <xf numFmtId="3" fontId="8" fillId="3" borderId="7" xfId="2" applyNumberFormat="1" applyFont="1" applyFill="1" applyBorder="1" applyAlignment="1" applyProtection="1">
      <alignment horizontal="center" vertical="center"/>
      <protection hidden="1"/>
    </xf>
    <xf numFmtId="0" fontId="0" fillId="6" borderId="0" xfId="0" applyFill="1"/>
    <xf numFmtId="0" fontId="11" fillId="0" borderId="1" xfId="0" applyFont="1" applyBorder="1" applyAlignment="1">
      <alignment vertical="center"/>
    </xf>
    <xf numFmtId="0" fontId="11" fillId="0" borderId="0" xfId="0" applyFont="1"/>
    <xf numFmtId="2" fontId="8" fillId="0" borderId="0" xfId="2" applyNumberFormat="1" applyFont="1" applyFill="1" applyBorder="1" applyAlignment="1" applyProtection="1">
      <alignment horizontal="center" vertical="center"/>
      <protection hidden="1"/>
    </xf>
    <xf numFmtId="9" fontId="0" fillId="0" borderId="0" xfId="1" applyFont="1"/>
    <xf numFmtId="164" fontId="0" fillId="0" borderId="0" xfId="1" applyNumberFormat="1" applyFont="1"/>
    <xf numFmtId="0" fontId="14" fillId="8" borderId="0" xfId="0" applyFont="1" applyFill="1"/>
    <xf numFmtId="0" fontId="0" fillId="6" borderId="0" xfId="0" applyFill="1" applyAlignment="1">
      <alignment horizontal="center"/>
    </xf>
    <xf numFmtId="0" fontId="15" fillId="7" borderId="0" xfId="0" applyFont="1" applyFill="1"/>
    <xf numFmtId="0" fontId="15" fillId="9" borderId="0" xfId="0" applyFont="1" applyFill="1" applyAlignment="1">
      <alignment horizontal="center"/>
    </xf>
    <xf numFmtId="0" fontId="12" fillId="10" borderId="0" xfId="0" applyFont="1" applyFill="1"/>
    <xf numFmtId="0" fontId="0" fillId="10" borderId="0" xfId="0" applyFill="1"/>
    <xf numFmtId="0" fontId="0" fillId="0" borderId="20" xfId="0" applyBorder="1"/>
    <xf numFmtId="164" fontId="0" fillId="0" borderId="20" xfId="0" applyNumberFormat="1" applyBorder="1"/>
    <xf numFmtId="10" fontId="0" fillId="0" borderId="20" xfId="0" applyNumberFormat="1" applyBorder="1"/>
    <xf numFmtId="0" fontId="13" fillId="11" borderId="0" xfId="0" applyFont="1" applyFill="1"/>
    <xf numFmtId="0" fontId="7" fillId="4" borderId="11" xfId="2" applyFont="1" applyFill="1" applyBorder="1" applyAlignment="1" applyProtection="1">
      <alignment horizontal="left" vertical="center"/>
      <protection hidden="1"/>
    </xf>
    <xf numFmtId="0" fontId="7" fillId="4" borderId="12" xfId="2" applyFont="1" applyFill="1" applyBorder="1" applyAlignment="1" applyProtection="1">
      <alignment horizontal="left" vertical="center"/>
      <protection hidden="1"/>
    </xf>
    <xf numFmtId="0" fontId="7" fillId="4" borderId="13" xfId="2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7" fillId="4" borderId="6" xfId="2" applyFont="1" applyFill="1" applyBorder="1" applyAlignment="1" applyProtection="1">
      <alignment horizontal="left" vertical="center"/>
      <protection hidden="1"/>
    </xf>
    <xf numFmtId="0" fontId="7" fillId="4" borderId="7" xfId="2" applyFont="1" applyFill="1" applyBorder="1" applyAlignment="1" applyProtection="1">
      <alignment horizontal="left" vertical="center"/>
      <protection hidden="1"/>
    </xf>
    <xf numFmtId="0" fontId="7" fillId="4" borderId="8" xfId="2" applyFont="1" applyFill="1" applyBorder="1" applyAlignment="1" applyProtection="1">
      <alignment horizontal="left" vertical="center"/>
      <protection hidden="1"/>
    </xf>
    <xf numFmtId="0" fontId="7" fillId="4" borderId="9" xfId="2" applyFont="1" applyFill="1" applyBorder="1" applyAlignment="1" applyProtection="1">
      <alignment horizontal="left" vertical="center"/>
      <protection hidden="1"/>
    </xf>
    <xf numFmtId="0" fontId="6" fillId="5" borderId="14" xfId="2" applyFont="1" applyFill="1" applyBorder="1" applyAlignment="1" applyProtection="1">
      <alignment horizontal="center" vertical="center" wrapText="1"/>
      <protection hidden="1"/>
    </xf>
    <xf numFmtId="0" fontId="6" fillId="5" borderId="18" xfId="2" applyFont="1" applyFill="1" applyBorder="1" applyAlignment="1" applyProtection="1">
      <alignment horizontal="center" vertical="center" wrapText="1"/>
      <protection hidden="1"/>
    </xf>
    <xf numFmtId="0" fontId="7" fillId="5" borderId="15" xfId="2" applyFont="1" applyFill="1" applyBorder="1" applyAlignment="1" applyProtection="1">
      <alignment horizontal="left" vertical="center"/>
      <protection hidden="1"/>
    </xf>
    <xf numFmtId="0" fontId="7" fillId="5" borderId="16" xfId="2" applyFont="1" applyFill="1" applyBorder="1" applyAlignment="1" applyProtection="1">
      <alignment horizontal="left" vertical="center"/>
      <protection hidden="1"/>
    </xf>
    <xf numFmtId="0" fontId="7" fillId="5" borderId="8" xfId="2" applyFont="1" applyFill="1" applyBorder="1" applyAlignment="1" applyProtection="1">
      <alignment horizontal="left" vertical="center"/>
      <protection hidden="1"/>
    </xf>
    <xf numFmtId="0" fontId="7" fillId="5" borderId="9" xfId="2" applyFont="1" applyFill="1" applyBorder="1" applyAlignment="1" applyProtection="1">
      <alignment horizontal="left" vertical="center"/>
      <protection hidden="1"/>
    </xf>
    <xf numFmtId="0" fontId="7" fillId="5" borderId="12" xfId="2" applyFont="1" applyFill="1" applyBorder="1" applyAlignment="1" applyProtection="1">
      <alignment horizontal="left" vertical="center"/>
      <protection hidden="1"/>
    </xf>
    <xf numFmtId="0" fontId="7" fillId="5" borderId="13" xfId="2" applyFont="1" applyFill="1" applyBorder="1" applyAlignment="1" applyProtection="1">
      <alignment horizontal="left" vertical="center"/>
      <protection hidden="1"/>
    </xf>
    <xf numFmtId="0" fontId="6" fillId="3" borderId="14" xfId="2" applyFont="1" applyFill="1" applyBorder="1" applyAlignment="1" applyProtection="1">
      <alignment horizontal="center" vertical="center" wrapText="1"/>
      <protection hidden="1"/>
    </xf>
    <xf numFmtId="0" fontId="6" fillId="3" borderId="19" xfId="2" applyFont="1" applyFill="1" applyBorder="1" applyAlignment="1" applyProtection="1">
      <alignment horizontal="center" vertical="center" wrapText="1"/>
      <protection hidden="1"/>
    </xf>
    <xf numFmtId="0" fontId="7" fillId="3" borderId="17" xfId="2" applyFont="1" applyFill="1" applyBorder="1" applyAlignment="1" applyProtection="1">
      <alignment horizontal="left" vertical="center"/>
      <protection hidden="1"/>
    </xf>
    <xf numFmtId="0" fontId="7" fillId="3" borderId="15" xfId="2" applyFont="1" applyFill="1" applyBorder="1" applyAlignment="1" applyProtection="1">
      <alignment horizontal="left" vertical="center"/>
      <protection hidden="1"/>
    </xf>
    <xf numFmtId="0" fontId="7" fillId="3" borderId="16" xfId="2" applyFont="1" applyFill="1" applyBorder="1" applyAlignment="1" applyProtection="1">
      <alignment horizontal="left" vertical="center"/>
      <protection hidden="1"/>
    </xf>
    <xf numFmtId="0" fontId="7" fillId="3" borderId="7" xfId="2" applyFont="1" applyFill="1" applyBorder="1" applyAlignment="1" applyProtection="1">
      <alignment horizontal="left" vertical="center"/>
      <protection hidden="1"/>
    </xf>
    <xf numFmtId="0" fontId="7" fillId="3" borderId="8" xfId="2" applyFont="1" applyFill="1" applyBorder="1" applyAlignment="1" applyProtection="1">
      <alignment horizontal="left" vertical="center"/>
      <protection hidden="1"/>
    </xf>
    <xf numFmtId="0" fontId="7" fillId="3" borderId="9" xfId="2" applyFont="1" applyFill="1" applyBorder="1" applyAlignment="1" applyProtection="1">
      <alignment horizontal="left" vertical="center"/>
      <protection hidden="1"/>
    </xf>
  </cellXfs>
  <cellStyles count="3">
    <cellStyle name="Explanatory Text" xfId="2" builtinId="5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Calculations!$E$6:$P$6</c:f>
              <c:numCache>
                <c:formatCode>0%</c:formatCode>
                <c:ptCount val="12"/>
                <c:pt idx="0">
                  <c:v>0.08</c:v>
                </c:pt>
                <c:pt idx="1">
                  <c:v>0.09</c:v>
                </c:pt>
                <c:pt idx="2">
                  <c:v>0.11</c:v>
                </c:pt>
                <c:pt idx="3">
                  <c:v>7.5499999999999998E-2</c:v>
                </c:pt>
                <c:pt idx="4">
                  <c:v>4.9799999999999997E-2</c:v>
                </c:pt>
                <c:pt idx="5">
                  <c:v>0.12</c:v>
                </c:pt>
                <c:pt idx="6">
                  <c:v>0.13</c:v>
                </c:pt>
                <c:pt idx="7">
                  <c:v>4.99E-2</c:v>
                </c:pt>
                <c:pt idx="8">
                  <c:v>7.0000000000000007E-2</c:v>
                </c:pt>
                <c:pt idx="9">
                  <c:v>8.5500000000000007E-2</c:v>
                </c:pt>
                <c:pt idx="10">
                  <c:v>0.12</c:v>
                </c:pt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8-4236-AADC-111859A0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75008"/>
        <c:axId val="347278848"/>
      </c:lineChart>
      <c:catAx>
        <c:axId val="347275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78848"/>
        <c:crosses val="autoZero"/>
        <c:auto val="1"/>
        <c:lblAlgn val="ctr"/>
        <c:lblOffset val="100"/>
        <c:noMultiLvlLbl val="0"/>
      </c:catAx>
      <c:valAx>
        <c:axId val="34727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66224496821425E-2"/>
          <c:y val="0.14086731840716146"/>
          <c:w val="0.8542675510063571"/>
          <c:h val="0.8317645812058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Calculations!$E$7:$P$7</c:f>
              <c:numCache>
                <c:formatCode>0</c:formatCode>
                <c:ptCount val="12"/>
                <c:pt idx="0">
                  <c:v>1530</c:v>
                </c:pt>
                <c:pt idx="1">
                  <c:v>1413</c:v>
                </c:pt>
                <c:pt idx="2">
                  <c:v>1052</c:v>
                </c:pt>
                <c:pt idx="3">
                  <c:v>1405</c:v>
                </c:pt>
                <c:pt idx="4">
                  <c:v>1207</c:v>
                </c:pt>
                <c:pt idx="5">
                  <c:v>1180</c:v>
                </c:pt>
                <c:pt idx="6">
                  <c:v>1349</c:v>
                </c:pt>
                <c:pt idx="7">
                  <c:v>1288</c:v>
                </c:pt>
                <c:pt idx="8">
                  <c:v>1545</c:v>
                </c:pt>
                <c:pt idx="9">
                  <c:v>1336</c:v>
                </c:pt>
                <c:pt idx="10">
                  <c:v>1000</c:v>
                </c:pt>
                <c:pt idx="11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3-40E2-8E6D-678EB899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40448"/>
        <c:axId val="347228928"/>
      </c:lineChart>
      <c:catAx>
        <c:axId val="34724044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28928"/>
        <c:crosses val="autoZero"/>
        <c:auto val="1"/>
        <c:lblAlgn val="ctr"/>
        <c:lblOffset val="100"/>
        <c:noMultiLvlLbl val="0"/>
      </c:catAx>
      <c:valAx>
        <c:axId val="34722892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47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66224496821425E-2"/>
          <c:y val="0.14086731840716146"/>
          <c:w val="0.8542675510063571"/>
          <c:h val="0.8317645812058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Calculations!$E$9:$P$9</c:f>
              <c:numCache>
                <c:formatCode>0%</c:formatCode>
                <c:ptCount val="12"/>
                <c:pt idx="0">
                  <c:v>0.76</c:v>
                </c:pt>
                <c:pt idx="1">
                  <c:v>0.7</c:v>
                </c:pt>
                <c:pt idx="2">
                  <c:v>0.64</c:v>
                </c:pt>
                <c:pt idx="3">
                  <c:v>0.68</c:v>
                </c:pt>
                <c:pt idx="4">
                  <c:v>0.69</c:v>
                </c:pt>
                <c:pt idx="5">
                  <c:v>0.74</c:v>
                </c:pt>
                <c:pt idx="6">
                  <c:v>0.85</c:v>
                </c:pt>
                <c:pt idx="7">
                  <c:v>0.8</c:v>
                </c:pt>
                <c:pt idx="8">
                  <c:v>0.84</c:v>
                </c:pt>
                <c:pt idx="9">
                  <c:v>0.74</c:v>
                </c:pt>
                <c:pt idx="10">
                  <c:v>0.65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3-40E2-8E6D-678EB899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40448"/>
        <c:axId val="347228928"/>
      </c:lineChart>
      <c:catAx>
        <c:axId val="34724044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28928"/>
        <c:crosses val="autoZero"/>
        <c:auto val="1"/>
        <c:lblAlgn val="ctr"/>
        <c:lblOffset val="100"/>
        <c:noMultiLvlLbl val="0"/>
      </c:catAx>
      <c:valAx>
        <c:axId val="3472289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66224496821425E-2"/>
          <c:y val="0.14086731840716146"/>
          <c:w val="0.8542675510063571"/>
          <c:h val="0.8317645812058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Calculations!$E$8:$P$8</c:f>
              <c:numCache>
                <c:formatCode>0%</c:formatCode>
                <c:ptCount val="12"/>
                <c:pt idx="0">
                  <c:v>0.56000000000000005</c:v>
                </c:pt>
                <c:pt idx="1">
                  <c:v>0.57999999999999996</c:v>
                </c:pt>
                <c:pt idx="2">
                  <c:v>0.41</c:v>
                </c:pt>
                <c:pt idx="3">
                  <c:v>0.84</c:v>
                </c:pt>
                <c:pt idx="4">
                  <c:v>0.74</c:v>
                </c:pt>
                <c:pt idx="5">
                  <c:v>0.77</c:v>
                </c:pt>
                <c:pt idx="6">
                  <c:v>0.71</c:v>
                </c:pt>
                <c:pt idx="7">
                  <c:v>0.79</c:v>
                </c:pt>
                <c:pt idx="8">
                  <c:v>0.31</c:v>
                </c:pt>
                <c:pt idx="9">
                  <c:v>0.43</c:v>
                </c:pt>
                <c:pt idx="10">
                  <c:v>0.68</c:v>
                </c:pt>
                <c:pt idx="11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3-40E2-8E6D-678EB899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40448"/>
        <c:axId val="347228928"/>
      </c:lineChart>
      <c:catAx>
        <c:axId val="34724044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28928"/>
        <c:crosses val="autoZero"/>
        <c:auto val="1"/>
        <c:lblAlgn val="ctr"/>
        <c:lblOffset val="100"/>
        <c:noMultiLvlLbl val="0"/>
      </c:catAx>
      <c:valAx>
        <c:axId val="3472289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Calculations!$E$10:$P$10</c:f>
              <c:numCache>
                <c:formatCode>0%</c:formatCode>
                <c:ptCount val="12"/>
                <c:pt idx="0">
                  <c:v>0.78</c:v>
                </c:pt>
                <c:pt idx="1">
                  <c:v>0.74</c:v>
                </c:pt>
                <c:pt idx="2">
                  <c:v>0.8</c:v>
                </c:pt>
                <c:pt idx="3">
                  <c:v>0.93</c:v>
                </c:pt>
                <c:pt idx="4">
                  <c:v>0.85</c:v>
                </c:pt>
                <c:pt idx="5">
                  <c:v>0.94</c:v>
                </c:pt>
                <c:pt idx="6">
                  <c:v>0.9</c:v>
                </c:pt>
                <c:pt idx="7">
                  <c:v>0.71</c:v>
                </c:pt>
                <c:pt idx="8">
                  <c:v>0.92</c:v>
                </c:pt>
                <c:pt idx="9">
                  <c:v>0.87</c:v>
                </c:pt>
                <c:pt idx="10">
                  <c:v>0.73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8-4236-AADC-111859A0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75008"/>
        <c:axId val="347278848"/>
      </c:lineChart>
      <c:catAx>
        <c:axId val="347275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78848"/>
        <c:crosses val="autoZero"/>
        <c:auto val="1"/>
        <c:lblAlgn val="ctr"/>
        <c:lblOffset val="100"/>
        <c:noMultiLvlLbl val="0"/>
      </c:catAx>
      <c:valAx>
        <c:axId val="34727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Calculations!$E$11:$P$11</c:f>
              <c:numCache>
                <c:formatCode>0%</c:formatCode>
                <c:ptCount val="12"/>
                <c:pt idx="0">
                  <c:v>0.45</c:v>
                </c:pt>
                <c:pt idx="1">
                  <c:v>0.87</c:v>
                </c:pt>
                <c:pt idx="2">
                  <c:v>0.64</c:v>
                </c:pt>
                <c:pt idx="3">
                  <c:v>0.25</c:v>
                </c:pt>
                <c:pt idx="4">
                  <c:v>0.33</c:v>
                </c:pt>
                <c:pt idx="5">
                  <c:v>0.49</c:v>
                </c:pt>
                <c:pt idx="6">
                  <c:v>0.68</c:v>
                </c:pt>
                <c:pt idx="7">
                  <c:v>0.38</c:v>
                </c:pt>
                <c:pt idx="8">
                  <c:v>0.42</c:v>
                </c:pt>
                <c:pt idx="9">
                  <c:v>0.52</c:v>
                </c:pt>
                <c:pt idx="10">
                  <c:v>0.61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8-4236-AADC-111859A0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75008"/>
        <c:axId val="347278848"/>
      </c:lineChart>
      <c:catAx>
        <c:axId val="347275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78848"/>
        <c:crosses val="autoZero"/>
        <c:auto val="1"/>
        <c:lblAlgn val="ctr"/>
        <c:lblOffset val="100"/>
        <c:noMultiLvlLbl val="0"/>
      </c:catAx>
      <c:valAx>
        <c:axId val="34727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66224496821425E-2"/>
          <c:y val="0.14086731840716146"/>
          <c:w val="0.8542675510063571"/>
          <c:h val="0.8317645812058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Calculations!$E$12:$P$12</c:f>
              <c:numCache>
                <c:formatCode>0%</c:formatCode>
                <c:ptCount val="12"/>
                <c:pt idx="0">
                  <c:v>5.0583657587548639E-2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4.687122493355883E-2</c:v>
                </c:pt>
                <c:pt idx="4">
                  <c:v>0.11934349355216882</c:v>
                </c:pt>
                <c:pt idx="5">
                  <c:v>8.4789796882380725E-2</c:v>
                </c:pt>
                <c:pt idx="6">
                  <c:v>0.09</c:v>
                </c:pt>
                <c:pt idx="7">
                  <c:v>0.13053712818317997</c:v>
                </c:pt>
                <c:pt idx="8">
                  <c:v>0.10812553740326741</c:v>
                </c:pt>
                <c:pt idx="9">
                  <c:v>7.5921375921375919E-2</c:v>
                </c:pt>
                <c:pt idx="10">
                  <c:v>0.11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3-40E2-8E6D-678EB899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40448"/>
        <c:axId val="347228928"/>
      </c:lineChart>
      <c:catAx>
        <c:axId val="34724044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28928"/>
        <c:crosses val="autoZero"/>
        <c:auto val="1"/>
        <c:lblAlgn val="ctr"/>
        <c:lblOffset val="100"/>
        <c:noMultiLvlLbl val="0"/>
      </c:catAx>
      <c:valAx>
        <c:axId val="3472289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Calculations!$E$13:$P$13</c:f>
              <c:numCache>
                <c:formatCode>#,##0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8-4236-AADC-111859A0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75008"/>
        <c:axId val="347278848"/>
      </c:lineChart>
      <c:catAx>
        <c:axId val="347275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78848"/>
        <c:crosses val="autoZero"/>
        <c:auto val="1"/>
        <c:lblAlgn val="ctr"/>
        <c:lblOffset val="100"/>
        <c:noMultiLvlLbl val="0"/>
      </c:catAx>
      <c:valAx>
        <c:axId val="3472788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4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66224496821425E-2"/>
          <c:y val="0.14086731840716146"/>
          <c:w val="0.8542675510063571"/>
          <c:h val="0.831764581205803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Calculations!$E$14:$P$14</c:f>
              <c:numCache>
                <c:formatCode>0%</c:formatCode>
                <c:ptCount val="12"/>
                <c:pt idx="0">
                  <c:v>0.42109999999999997</c:v>
                </c:pt>
                <c:pt idx="1">
                  <c:v>0.23669999999999999</c:v>
                </c:pt>
                <c:pt idx="2">
                  <c:v>0.55759999999999998</c:v>
                </c:pt>
                <c:pt idx="3">
                  <c:v>0.61119999999999997</c:v>
                </c:pt>
                <c:pt idx="4">
                  <c:v>0.78769999999999996</c:v>
                </c:pt>
                <c:pt idx="5">
                  <c:v>0.38719999999999999</c:v>
                </c:pt>
                <c:pt idx="6">
                  <c:v>0.46379999999999999</c:v>
                </c:pt>
                <c:pt idx="7">
                  <c:v>0.44</c:v>
                </c:pt>
                <c:pt idx="8">
                  <c:v>0.52</c:v>
                </c:pt>
                <c:pt idx="9">
                  <c:v>0.46</c:v>
                </c:pt>
                <c:pt idx="10">
                  <c:v>0.71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3-40E2-8E6D-678EB899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40448"/>
        <c:axId val="347228928"/>
      </c:lineChart>
      <c:catAx>
        <c:axId val="34724044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28928"/>
        <c:crosses val="autoZero"/>
        <c:auto val="1"/>
        <c:lblAlgn val="ctr"/>
        <c:lblOffset val="100"/>
        <c:noMultiLvlLbl val="0"/>
      </c:catAx>
      <c:valAx>
        <c:axId val="3472289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Calculations!$E$15:$P$15</c:f>
              <c:numCache>
                <c:formatCode>0%</c:formatCode>
                <c:ptCount val="12"/>
                <c:pt idx="0">
                  <c:v>0.15</c:v>
                </c:pt>
                <c:pt idx="1">
                  <c:v>0.12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0.05</c:v>
                </c:pt>
                <c:pt idx="6">
                  <c:v>0.11</c:v>
                </c:pt>
                <c:pt idx="7">
                  <c:v>0.08</c:v>
                </c:pt>
                <c:pt idx="8">
                  <c:v>0.09</c:v>
                </c:pt>
                <c:pt idx="9">
                  <c:v>0.12</c:v>
                </c:pt>
                <c:pt idx="10">
                  <c:v>0.18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8-4236-AADC-111859A0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75008"/>
        <c:axId val="347278848"/>
      </c:lineChart>
      <c:catAx>
        <c:axId val="347275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47278848"/>
        <c:crosses val="autoZero"/>
        <c:auto val="1"/>
        <c:lblAlgn val="ctr"/>
        <c:lblOffset val="100"/>
        <c:noMultiLvlLbl val="0"/>
      </c:catAx>
      <c:valAx>
        <c:axId val="34727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4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23126800579141"/>
          <c:y val="6.7317657325396602E-2"/>
          <c:w val="0.5632004937648164"/>
          <c:h val="0.92459273272756803"/>
        </c:manualLayout>
      </c:layout>
      <c:doughnut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5E-4637-BFF7-A2F7EFDDC47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5E-4637-BFF7-A2F7EFDDC47C}"/>
              </c:ext>
            </c:extLst>
          </c:dPt>
          <c:cat>
            <c:strRef>
              <c:f>Calculations!$B$25:$B$26</c:f>
              <c:strCache>
                <c:ptCount val="2"/>
                <c:pt idx="0">
                  <c:v>Actual value</c:v>
                </c:pt>
                <c:pt idx="1">
                  <c:v>Reminder</c:v>
                </c:pt>
              </c:strCache>
            </c:strRef>
          </c:cat>
          <c:val>
            <c:numRef>
              <c:f>Calculations!$C$25:$C$26</c:f>
              <c:numCache>
                <c:formatCode>0.00%</c:formatCode>
                <c:ptCount val="2"/>
                <c:pt idx="0" formatCode="0.0%">
                  <c:v>0.18</c:v>
                </c:pt>
                <c:pt idx="1">
                  <c:v>0.82000000000000006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E-4637-BFF7-A2F7EFDD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23126800579141"/>
          <c:y val="6.7317657325396602E-2"/>
          <c:w val="0.5632004937648164"/>
          <c:h val="0.92459273272756803"/>
        </c:manualLayout>
      </c:layout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explosion val="14"/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F-4BF4-B103-DF0CF829CBE4}"/>
              </c:ext>
            </c:extLst>
          </c:dPt>
          <c:dPt>
            <c:idx val="1"/>
            <c:bubble3D val="0"/>
            <c:explosion val="12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FF-4BF4-B103-DF0CF829CBE4}"/>
              </c:ext>
            </c:extLst>
          </c:dPt>
          <c:cat>
            <c:strRef>
              <c:f>Calculations!$F$25:$F$26</c:f>
              <c:strCache>
                <c:ptCount val="2"/>
                <c:pt idx="0">
                  <c:v>Actual value</c:v>
                </c:pt>
                <c:pt idx="1">
                  <c:v>Reminder</c:v>
                </c:pt>
              </c:strCache>
            </c:strRef>
          </c:cat>
          <c:val>
            <c:numRef>
              <c:f>Calculations!$G$25:$G$26</c:f>
              <c:numCache>
                <c:formatCode>0.0%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FF-4BF4-B103-DF0CF829C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67970609164901"/>
          <c:y val="3.4959217537255213E-2"/>
          <c:w val="0.5632004937648164"/>
          <c:h val="0.92459273272756803"/>
        </c:manualLayout>
      </c:layout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</c:spPr>
          <c:explosion val="14"/>
          <c:dPt>
            <c:idx val="0"/>
            <c:bubble3D val="0"/>
            <c:explosion val="16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F-4BF4-B103-DF0CF829CBE4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FF-4BF4-B103-DF0CF829CBE4}"/>
              </c:ext>
            </c:extLst>
          </c:dPt>
          <c:cat>
            <c:strRef>
              <c:f>Calculations!$J$25:$J$26</c:f>
              <c:strCache>
                <c:ptCount val="2"/>
                <c:pt idx="0">
                  <c:v>Actual value</c:v>
                </c:pt>
                <c:pt idx="1">
                  <c:v>Reminder</c:v>
                </c:pt>
              </c:strCache>
            </c:strRef>
          </c:cat>
          <c:val>
            <c:numRef>
              <c:f>Calculations!$K$25:$K$26</c:f>
              <c:numCache>
                <c:formatCode>0.00%</c:formatCode>
                <c:ptCount val="2"/>
                <c:pt idx="0" formatCode="0.0%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FF-4BF4-B103-DF0CF829C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4.svg"/><Relationship Id="rId2" Type="http://schemas.openxmlformats.org/officeDocument/2006/relationships/chart" Target="../charts/chart2.xml"/><Relationship Id="rId16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2.sv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549518</xdr:colOff>
      <xdr:row>6</xdr:row>
      <xdr:rowOff>185858</xdr:rowOff>
    </xdr:from>
    <xdr:to>
      <xdr:col>22</xdr:col>
      <xdr:colOff>573941</xdr:colOff>
      <xdr:row>16</xdr:row>
      <xdr:rowOff>85480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7499304-CB70-E9DA-0C55-B5E4A2D60DF3}"/>
            </a:ext>
          </a:extLst>
        </xdr:cNvPr>
        <xdr:cNvSpPr/>
      </xdr:nvSpPr>
      <xdr:spPr>
        <a:xfrm>
          <a:off x="3602403" y="1358166"/>
          <a:ext cx="10404230" cy="1963372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567590</xdr:colOff>
      <xdr:row>16</xdr:row>
      <xdr:rowOff>160948</xdr:rowOff>
    </xdr:from>
    <xdr:to>
      <xdr:col>9</xdr:col>
      <xdr:colOff>73269</xdr:colOff>
      <xdr:row>26</xdr:row>
      <xdr:rowOff>51044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CF3F419-A1C8-4141-AF5E-D605ADF86689}"/>
            </a:ext>
          </a:extLst>
        </xdr:cNvPr>
        <xdr:cNvSpPr/>
      </xdr:nvSpPr>
      <xdr:spPr>
        <a:xfrm>
          <a:off x="3620475" y="3397006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231529</xdr:colOff>
      <xdr:row>16</xdr:row>
      <xdr:rowOff>160948</xdr:rowOff>
    </xdr:from>
    <xdr:to>
      <xdr:col>12</xdr:col>
      <xdr:colOff>347784</xdr:colOff>
      <xdr:row>26</xdr:row>
      <xdr:rowOff>51044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FA7FDEF-9EFD-327A-7FD0-188A73908074}"/>
            </a:ext>
          </a:extLst>
        </xdr:cNvPr>
        <xdr:cNvSpPr/>
      </xdr:nvSpPr>
      <xdr:spPr>
        <a:xfrm>
          <a:off x="5726721" y="3397006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506044</xdr:colOff>
      <xdr:row>16</xdr:row>
      <xdr:rowOff>160948</xdr:rowOff>
    </xdr:from>
    <xdr:to>
      <xdr:col>16</xdr:col>
      <xdr:colOff>11722</xdr:colOff>
      <xdr:row>26</xdr:row>
      <xdr:rowOff>51044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A3BF7CF-1C24-80D9-5D45-BE1E4E602BA6}"/>
            </a:ext>
          </a:extLst>
        </xdr:cNvPr>
        <xdr:cNvSpPr/>
      </xdr:nvSpPr>
      <xdr:spPr>
        <a:xfrm>
          <a:off x="7832967" y="3397006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169982</xdr:colOff>
      <xdr:row>16</xdr:row>
      <xdr:rowOff>160948</xdr:rowOff>
    </xdr:from>
    <xdr:to>
      <xdr:col>19</xdr:col>
      <xdr:colOff>286237</xdr:colOff>
      <xdr:row>26</xdr:row>
      <xdr:rowOff>51044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8D54419-7F0A-C251-4EFB-272E46101331}"/>
            </a:ext>
          </a:extLst>
        </xdr:cNvPr>
        <xdr:cNvSpPr/>
      </xdr:nvSpPr>
      <xdr:spPr>
        <a:xfrm>
          <a:off x="9939213" y="3397006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444499</xdr:colOff>
      <xdr:row>16</xdr:row>
      <xdr:rowOff>160948</xdr:rowOff>
    </xdr:from>
    <xdr:to>
      <xdr:col>22</xdr:col>
      <xdr:colOff>560755</xdr:colOff>
      <xdr:row>26</xdr:row>
      <xdr:rowOff>51044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9A2C9DC-2083-EE8A-1200-8DF72138D1D8}"/>
            </a:ext>
          </a:extLst>
        </xdr:cNvPr>
        <xdr:cNvSpPr/>
      </xdr:nvSpPr>
      <xdr:spPr>
        <a:xfrm>
          <a:off x="12045461" y="3397006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585665</xdr:colOff>
      <xdr:row>26</xdr:row>
      <xdr:rowOff>117964</xdr:rowOff>
    </xdr:from>
    <xdr:to>
      <xdr:col>9</xdr:col>
      <xdr:colOff>91344</xdr:colOff>
      <xdr:row>36</xdr:row>
      <xdr:rowOff>8060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2CE4180-EEBD-1C76-AC20-71F61EC3A349}"/>
            </a:ext>
          </a:extLst>
        </xdr:cNvPr>
        <xdr:cNvSpPr/>
      </xdr:nvSpPr>
      <xdr:spPr>
        <a:xfrm>
          <a:off x="3638550" y="5307868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249604</xdr:colOff>
      <xdr:row>26</xdr:row>
      <xdr:rowOff>117964</xdr:rowOff>
    </xdr:from>
    <xdr:to>
      <xdr:col>12</xdr:col>
      <xdr:colOff>365859</xdr:colOff>
      <xdr:row>36</xdr:row>
      <xdr:rowOff>8060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78F915F-50F0-266D-9763-799F37422971}"/>
            </a:ext>
          </a:extLst>
        </xdr:cNvPr>
        <xdr:cNvSpPr/>
      </xdr:nvSpPr>
      <xdr:spPr>
        <a:xfrm>
          <a:off x="5744796" y="5307868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524119</xdr:colOff>
      <xdr:row>26</xdr:row>
      <xdr:rowOff>117964</xdr:rowOff>
    </xdr:from>
    <xdr:to>
      <xdr:col>16</xdr:col>
      <xdr:colOff>29797</xdr:colOff>
      <xdr:row>36</xdr:row>
      <xdr:rowOff>8060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29DEFE1-F1F0-0D7C-7DCC-6B12404FE62C}"/>
            </a:ext>
          </a:extLst>
        </xdr:cNvPr>
        <xdr:cNvSpPr/>
      </xdr:nvSpPr>
      <xdr:spPr>
        <a:xfrm>
          <a:off x="7851042" y="5307868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188057</xdr:colOff>
      <xdr:row>26</xdr:row>
      <xdr:rowOff>117964</xdr:rowOff>
    </xdr:from>
    <xdr:to>
      <xdr:col>19</xdr:col>
      <xdr:colOff>304312</xdr:colOff>
      <xdr:row>36</xdr:row>
      <xdr:rowOff>8060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996231-8E94-FB69-768A-4A2A636B8A3C}"/>
            </a:ext>
          </a:extLst>
        </xdr:cNvPr>
        <xdr:cNvSpPr/>
      </xdr:nvSpPr>
      <xdr:spPr>
        <a:xfrm>
          <a:off x="9957288" y="5307868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462574</xdr:colOff>
      <xdr:row>26</xdr:row>
      <xdr:rowOff>117964</xdr:rowOff>
    </xdr:from>
    <xdr:to>
      <xdr:col>22</xdr:col>
      <xdr:colOff>578830</xdr:colOff>
      <xdr:row>36</xdr:row>
      <xdr:rowOff>8060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C6E6545-0DA3-FCE6-5E5B-EE9ADF796520}"/>
            </a:ext>
          </a:extLst>
        </xdr:cNvPr>
        <xdr:cNvSpPr/>
      </xdr:nvSpPr>
      <xdr:spPr>
        <a:xfrm>
          <a:off x="12063536" y="5307868"/>
          <a:ext cx="1947986" cy="1843942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573941</xdr:colOff>
      <xdr:row>16</xdr:row>
      <xdr:rowOff>170962</xdr:rowOff>
    </xdr:from>
    <xdr:to>
      <xdr:col>9</xdr:col>
      <xdr:colOff>61057</xdr:colOff>
      <xdr:row>18</xdr:row>
      <xdr:rowOff>97692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A59A95E-8829-BA11-F9BB-F96B14B99434}"/>
            </a:ext>
          </a:extLst>
        </xdr:cNvPr>
        <xdr:cNvSpPr txBox="1"/>
      </xdr:nvSpPr>
      <xdr:spPr>
        <a:xfrm>
          <a:off x="3626826" y="3407020"/>
          <a:ext cx="1929423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Absence</a:t>
          </a:r>
          <a:r>
            <a:rPr lang="en-US" sz="1400" baseline="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 Cost</a:t>
          </a:r>
          <a:endParaRPr lang="en-US" sz="1400"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</a:endParaRPr>
        </a:p>
      </xdr:txBody>
    </xdr:sp>
    <xdr:clientData/>
  </xdr:twoCellAnchor>
  <xdr:twoCellAnchor>
    <xdr:from>
      <xdr:col>9</xdr:col>
      <xdr:colOff>237881</xdr:colOff>
      <xdr:row>16</xdr:row>
      <xdr:rowOff>176823</xdr:rowOff>
    </xdr:from>
    <xdr:to>
      <xdr:col>12</xdr:col>
      <xdr:colOff>335573</xdr:colOff>
      <xdr:row>18</xdr:row>
      <xdr:rowOff>103553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749A687-3EEF-A7CF-6A7A-E7EE42CA3BA4}"/>
            </a:ext>
          </a:extLst>
        </xdr:cNvPr>
        <xdr:cNvSpPr txBox="1"/>
      </xdr:nvSpPr>
      <xdr:spPr>
        <a:xfrm>
          <a:off x="5733073" y="3412881"/>
          <a:ext cx="1929423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Absence</a:t>
          </a:r>
          <a:r>
            <a:rPr lang="en-US" sz="1400" baseline="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 Rate</a:t>
          </a:r>
          <a:endParaRPr lang="en-US" sz="1400"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</a:endParaRPr>
        </a:p>
      </xdr:txBody>
    </xdr:sp>
    <xdr:clientData/>
  </xdr:twoCellAnchor>
  <xdr:twoCellAnchor>
    <xdr:from>
      <xdr:col>12</xdr:col>
      <xdr:colOff>512397</xdr:colOff>
      <xdr:row>16</xdr:row>
      <xdr:rowOff>170472</xdr:rowOff>
    </xdr:from>
    <xdr:to>
      <xdr:col>15</xdr:col>
      <xdr:colOff>610089</xdr:colOff>
      <xdr:row>18</xdr:row>
      <xdr:rowOff>97202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245EA81-E15A-9E69-BFF7-B261B2EBF934}"/>
            </a:ext>
          </a:extLst>
        </xdr:cNvPr>
        <xdr:cNvSpPr txBox="1"/>
      </xdr:nvSpPr>
      <xdr:spPr>
        <a:xfrm>
          <a:off x="7839320" y="3406530"/>
          <a:ext cx="1929423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Productivity</a:t>
          </a:r>
          <a:r>
            <a:rPr lang="en-US" sz="1400" baseline="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 Rate</a:t>
          </a:r>
          <a:endParaRPr lang="en-US" sz="1400"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</a:endParaRPr>
        </a:p>
      </xdr:txBody>
    </xdr:sp>
    <xdr:clientData/>
  </xdr:twoCellAnchor>
  <xdr:twoCellAnchor>
    <xdr:from>
      <xdr:col>16</xdr:col>
      <xdr:colOff>188547</xdr:colOff>
      <xdr:row>16</xdr:row>
      <xdr:rowOff>176333</xdr:rowOff>
    </xdr:from>
    <xdr:to>
      <xdr:col>19</xdr:col>
      <xdr:colOff>286239</xdr:colOff>
      <xdr:row>18</xdr:row>
      <xdr:rowOff>103063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C81CCE-AB7B-7D37-6EA5-01DB54D8A8B5}"/>
            </a:ext>
          </a:extLst>
        </xdr:cNvPr>
        <xdr:cNvSpPr txBox="1"/>
      </xdr:nvSpPr>
      <xdr:spPr>
        <a:xfrm>
          <a:off x="9957778" y="3412391"/>
          <a:ext cx="1929423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Satisfaction</a:t>
          </a:r>
          <a:r>
            <a:rPr lang="en-US" sz="1400" baseline="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 Rate</a:t>
          </a:r>
          <a:endParaRPr lang="en-US" sz="1400"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</a:endParaRPr>
        </a:p>
      </xdr:txBody>
    </xdr:sp>
    <xdr:clientData/>
  </xdr:twoCellAnchor>
  <xdr:twoCellAnchor>
    <xdr:from>
      <xdr:col>19</xdr:col>
      <xdr:colOff>427403</xdr:colOff>
      <xdr:row>16</xdr:row>
      <xdr:rowOff>169984</xdr:rowOff>
    </xdr:from>
    <xdr:to>
      <xdr:col>22</xdr:col>
      <xdr:colOff>548544</xdr:colOff>
      <xdr:row>18</xdr:row>
      <xdr:rowOff>96714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D407237-C628-DAE7-B412-A1E809D3EB6A}"/>
            </a:ext>
          </a:extLst>
        </xdr:cNvPr>
        <xdr:cNvSpPr txBox="1"/>
      </xdr:nvSpPr>
      <xdr:spPr>
        <a:xfrm>
          <a:off x="12028365" y="3406042"/>
          <a:ext cx="1952871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Benefits</a:t>
          </a:r>
          <a:r>
            <a:rPr lang="en-US" sz="1400" baseline="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 </a:t>
          </a:r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Satisfaction</a:t>
          </a:r>
        </a:p>
      </xdr:txBody>
    </xdr:sp>
    <xdr:clientData/>
  </xdr:twoCellAnchor>
  <xdr:twoCellAnchor>
    <xdr:from>
      <xdr:col>19</xdr:col>
      <xdr:colOff>432289</xdr:colOff>
      <xdr:row>7</xdr:row>
      <xdr:rowOff>29306</xdr:rowOff>
    </xdr:from>
    <xdr:to>
      <xdr:col>22</xdr:col>
      <xdr:colOff>529982</xdr:colOff>
      <xdr:row>8</xdr:row>
      <xdr:rowOff>48846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2298E3F-A4B3-8BBE-2B90-049406796766}"/>
            </a:ext>
          </a:extLst>
        </xdr:cNvPr>
        <xdr:cNvSpPr txBox="1"/>
      </xdr:nvSpPr>
      <xdr:spPr>
        <a:xfrm>
          <a:off x="12033251" y="1396998"/>
          <a:ext cx="1929423" cy="32482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n>
                <a:noFill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Acceptance Ratio (%)</a:t>
          </a:r>
          <a:endParaRPr lang="en-US" sz="1600">
            <a:ln>
              <a:noFill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451826</xdr:colOff>
      <xdr:row>7</xdr:row>
      <xdr:rowOff>10743</xdr:rowOff>
    </xdr:from>
    <xdr:to>
      <xdr:col>18</xdr:col>
      <xdr:colOff>548055</xdr:colOff>
      <xdr:row>8</xdr:row>
      <xdr:rowOff>61057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0A13F62-7CFF-4541-80F1-9D873EDABF92}"/>
            </a:ext>
          </a:extLst>
        </xdr:cNvPr>
        <xdr:cNvSpPr txBox="1"/>
      </xdr:nvSpPr>
      <xdr:spPr>
        <a:xfrm>
          <a:off x="8999903" y="1378435"/>
          <a:ext cx="2538537" cy="35560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n>
                <a:noFill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Training effectiveness (%)</a:t>
          </a:r>
          <a:endParaRPr lang="en-US" sz="1600">
            <a:ln>
              <a:noFill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4397</xdr:colOff>
      <xdr:row>7</xdr:row>
      <xdr:rowOff>53238</xdr:rowOff>
    </xdr:from>
    <xdr:to>
      <xdr:col>9</xdr:col>
      <xdr:colOff>102090</xdr:colOff>
      <xdr:row>8</xdr:row>
      <xdr:rowOff>145073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BE000BD-D1B1-44B8-83E0-3C343E083503}"/>
            </a:ext>
          </a:extLst>
        </xdr:cNvPr>
        <xdr:cNvSpPr txBox="1"/>
      </xdr:nvSpPr>
      <xdr:spPr>
        <a:xfrm>
          <a:off x="3667859" y="1420930"/>
          <a:ext cx="1929423" cy="3971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>
              <a:ln>
                <a:noFill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Headcount </a:t>
          </a:r>
        </a:p>
      </xdr:txBody>
    </xdr:sp>
    <xdr:clientData/>
  </xdr:twoCellAnchor>
  <xdr:twoCellAnchor>
    <xdr:from>
      <xdr:col>10</xdr:col>
      <xdr:colOff>193432</xdr:colOff>
      <xdr:row>7</xdr:row>
      <xdr:rowOff>34677</xdr:rowOff>
    </xdr:from>
    <xdr:to>
      <xdr:col>13</xdr:col>
      <xdr:colOff>291124</xdr:colOff>
      <xdr:row>8</xdr:row>
      <xdr:rowOff>61057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FAA4C6A-153B-1C6D-BC6F-1572FC170D98}"/>
            </a:ext>
          </a:extLst>
        </xdr:cNvPr>
        <xdr:cNvSpPr txBox="1"/>
      </xdr:nvSpPr>
      <xdr:spPr>
        <a:xfrm>
          <a:off x="6299201" y="1402369"/>
          <a:ext cx="1929423" cy="3316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n>
                <a:noFill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90-day quit rate (%)</a:t>
          </a:r>
          <a:endParaRPr lang="en-US" sz="1600">
            <a:ln>
              <a:noFill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592014</xdr:colOff>
      <xdr:row>26</xdr:row>
      <xdr:rowOff>127979</xdr:rowOff>
    </xdr:from>
    <xdr:to>
      <xdr:col>9</xdr:col>
      <xdr:colOff>79130</xdr:colOff>
      <xdr:row>28</xdr:row>
      <xdr:rowOff>54708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4BC4170-25BD-AC8C-F4C0-268F2ACE5E32}"/>
            </a:ext>
          </a:extLst>
        </xdr:cNvPr>
        <xdr:cNvSpPr txBox="1"/>
      </xdr:nvSpPr>
      <xdr:spPr>
        <a:xfrm>
          <a:off x="3644899" y="5317883"/>
          <a:ext cx="1929423" cy="31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Engagement Ra</a:t>
          </a:r>
          <a:r>
            <a:rPr lang="en-US" sz="16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t</a:t>
          </a:r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9</xdr:col>
      <xdr:colOff>255954</xdr:colOff>
      <xdr:row>26</xdr:row>
      <xdr:rowOff>133840</xdr:rowOff>
    </xdr:from>
    <xdr:to>
      <xdr:col>12</xdr:col>
      <xdr:colOff>378557</xdr:colOff>
      <xdr:row>28</xdr:row>
      <xdr:rowOff>60569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F719F02-E2DE-E2C6-6E2B-D12514B4987B}"/>
            </a:ext>
          </a:extLst>
        </xdr:cNvPr>
        <xdr:cNvSpPr txBox="1"/>
      </xdr:nvSpPr>
      <xdr:spPr>
        <a:xfrm>
          <a:off x="5751146" y="5323744"/>
          <a:ext cx="1954334" cy="31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Internal</a:t>
          </a:r>
          <a:r>
            <a:rPr lang="en-US" sz="1400" baseline="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 p</a:t>
          </a:r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romotion Rate </a:t>
          </a:r>
        </a:p>
      </xdr:txBody>
    </xdr:sp>
    <xdr:clientData/>
  </xdr:twoCellAnchor>
  <xdr:twoCellAnchor>
    <xdr:from>
      <xdr:col>12</xdr:col>
      <xdr:colOff>530470</xdr:colOff>
      <xdr:row>26</xdr:row>
      <xdr:rowOff>127489</xdr:rowOff>
    </xdr:from>
    <xdr:to>
      <xdr:col>16</xdr:col>
      <xdr:colOff>17585</xdr:colOff>
      <xdr:row>28</xdr:row>
      <xdr:rowOff>54218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5B33A6C-0C09-0A13-C33B-6B204E8D1C21}"/>
            </a:ext>
          </a:extLst>
        </xdr:cNvPr>
        <xdr:cNvSpPr txBox="1"/>
      </xdr:nvSpPr>
      <xdr:spPr>
        <a:xfrm>
          <a:off x="7857393" y="5317393"/>
          <a:ext cx="1929423" cy="31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Net Promoter Score</a:t>
          </a:r>
        </a:p>
      </xdr:txBody>
    </xdr:sp>
    <xdr:clientData/>
  </xdr:twoCellAnchor>
  <xdr:twoCellAnchor>
    <xdr:from>
      <xdr:col>16</xdr:col>
      <xdr:colOff>206620</xdr:colOff>
      <xdr:row>26</xdr:row>
      <xdr:rowOff>133350</xdr:rowOff>
    </xdr:from>
    <xdr:to>
      <xdr:col>19</xdr:col>
      <xdr:colOff>304312</xdr:colOff>
      <xdr:row>28</xdr:row>
      <xdr:rowOff>60079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FE54B65-4D3E-FE04-5C3A-7983261DEB51}"/>
            </a:ext>
          </a:extLst>
        </xdr:cNvPr>
        <xdr:cNvSpPr txBox="1"/>
      </xdr:nvSpPr>
      <xdr:spPr>
        <a:xfrm>
          <a:off x="9975851" y="5323254"/>
          <a:ext cx="1929423" cy="31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  <a:ea typeface="+mn-ea"/>
              <a:cs typeface="+mn-cs"/>
            </a:rPr>
            <a:t>Quality of Hire </a:t>
          </a:r>
        </a:p>
      </xdr:txBody>
    </xdr:sp>
    <xdr:clientData/>
  </xdr:twoCellAnchor>
  <xdr:twoCellAnchor>
    <xdr:from>
      <xdr:col>19</xdr:col>
      <xdr:colOff>468924</xdr:colOff>
      <xdr:row>26</xdr:row>
      <xdr:rowOff>127001</xdr:rowOff>
    </xdr:from>
    <xdr:to>
      <xdr:col>22</xdr:col>
      <xdr:colOff>566617</xdr:colOff>
      <xdr:row>28</xdr:row>
      <xdr:rowOff>53730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A2BDBCB-9696-9EB7-02F7-3E8B71C0F58B}"/>
            </a:ext>
          </a:extLst>
        </xdr:cNvPr>
        <xdr:cNvSpPr txBox="1"/>
      </xdr:nvSpPr>
      <xdr:spPr>
        <a:xfrm>
          <a:off x="12069886" y="5316905"/>
          <a:ext cx="1929423" cy="31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ytona" panose="020F0502020204030204" pitchFamily="34" charset="0"/>
            </a:rPr>
            <a:t>Turnover Rate</a:t>
          </a:r>
          <a:endParaRPr lang="en-US" sz="1400">
            <a:ln>
              <a:noFill/>
            </a:ln>
            <a:solidFill>
              <a:schemeClr val="dk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Daytona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313050</xdr:colOff>
      <xdr:row>24</xdr:row>
      <xdr:rowOff>160132</xdr:rowOff>
    </xdr:from>
    <xdr:to>
      <xdr:col>8</xdr:col>
      <xdr:colOff>245508</xdr:colOff>
      <xdr:row>25</xdr:row>
      <xdr:rowOff>182347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1D1CF20-9845-47C1-97E6-A2F2F6149058}"/>
            </a:ext>
          </a:extLst>
        </xdr:cNvPr>
        <xdr:cNvSpPr txBox="1"/>
      </xdr:nvSpPr>
      <xdr:spPr>
        <a:xfrm>
          <a:off x="3976512" y="4959267"/>
          <a:ext cx="1153611" cy="217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9</xdr:col>
      <xdr:colOff>599778</xdr:colOff>
      <xdr:row>24</xdr:row>
      <xdr:rowOff>160132</xdr:rowOff>
    </xdr:from>
    <xdr:to>
      <xdr:col>11</xdr:col>
      <xdr:colOff>532235</xdr:colOff>
      <xdr:row>25</xdr:row>
      <xdr:rowOff>182347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FD18756-2FCE-ED2F-A092-00336CA64BBA}"/>
            </a:ext>
          </a:extLst>
        </xdr:cNvPr>
        <xdr:cNvSpPr txBox="1"/>
      </xdr:nvSpPr>
      <xdr:spPr>
        <a:xfrm>
          <a:off x="6094970" y="4959267"/>
          <a:ext cx="1153611" cy="217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13</xdr:col>
      <xdr:colOff>275928</xdr:colOff>
      <xdr:row>24</xdr:row>
      <xdr:rowOff>160132</xdr:rowOff>
    </xdr:from>
    <xdr:to>
      <xdr:col>15</xdr:col>
      <xdr:colOff>208385</xdr:colOff>
      <xdr:row>25</xdr:row>
      <xdr:rowOff>182347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05ED527-53F4-4198-9D3A-0FB2FF69790D}"/>
            </a:ext>
          </a:extLst>
        </xdr:cNvPr>
        <xdr:cNvSpPr txBox="1"/>
      </xdr:nvSpPr>
      <xdr:spPr>
        <a:xfrm>
          <a:off x="8213428" y="4959267"/>
          <a:ext cx="1153611" cy="217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16</xdr:col>
      <xdr:colOff>562655</xdr:colOff>
      <xdr:row>24</xdr:row>
      <xdr:rowOff>160132</xdr:rowOff>
    </xdr:from>
    <xdr:to>
      <xdr:col>18</xdr:col>
      <xdr:colOff>495112</xdr:colOff>
      <xdr:row>25</xdr:row>
      <xdr:rowOff>182347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EF18580-81D1-4321-94B4-8BCB5CF28EAC}"/>
            </a:ext>
          </a:extLst>
        </xdr:cNvPr>
        <xdr:cNvSpPr txBox="1"/>
      </xdr:nvSpPr>
      <xdr:spPr>
        <a:xfrm>
          <a:off x="10331886" y="4959267"/>
          <a:ext cx="1153611" cy="217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20</xdr:col>
      <xdr:colOff>238806</xdr:colOff>
      <xdr:row>24</xdr:row>
      <xdr:rowOff>160132</xdr:rowOff>
    </xdr:from>
    <xdr:to>
      <xdr:col>22</xdr:col>
      <xdr:colOff>171263</xdr:colOff>
      <xdr:row>25</xdr:row>
      <xdr:rowOff>182347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F79BDA7-81F7-5312-84A9-68FC9A6050D2}"/>
            </a:ext>
          </a:extLst>
        </xdr:cNvPr>
        <xdr:cNvSpPr txBox="1"/>
      </xdr:nvSpPr>
      <xdr:spPr>
        <a:xfrm>
          <a:off x="12450344" y="4959267"/>
          <a:ext cx="1153611" cy="217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6</xdr:col>
      <xdr:colOff>270065</xdr:colOff>
      <xdr:row>34</xdr:row>
      <xdr:rowOff>129360</xdr:rowOff>
    </xdr:from>
    <xdr:to>
      <xdr:col>8</xdr:col>
      <xdr:colOff>202523</xdr:colOff>
      <xdr:row>35</xdr:row>
      <xdr:rowOff>151574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B5A7586-E9FE-B2CA-D200-8CE3D4275283}"/>
            </a:ext>
          </a:extLst>
        </xdr:cNvPr>
        <xdr:cNvSpPr txBox="1"/>
      </xdr:nvSpPr>
      <xdr:spPr>
        <a:xfrm>
          <a:off x="3933527" y="6882341"/>
          <a:ext cx="1153611" cy="21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9</xdr:col>
      <xdr:colOff>556793</xdr:colOff>
      <xdr:row>34</xdr:row>
      <xdr:rowOff>129360</xdr:rowOff>
    </xdr:from>
    <xdr:to>
      <xdr:col>11</xdr:col>
      <xdr:colOff>489250</xdr:colOff>
      <xdr:row>35</xdr:row>
      <xdr:rowOff>151574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459021C-A3F0-F4A0-6C75-76A213783552}"/>
            </a:ext>
          </a:extLst>
        </xdr:cNvPr>
        <xdr:cNvSpPr txBox="1"/>
      </xdr:nvSpPr>
      <xdr:spPr>
        <a:xfrm>
          <a:off x="6051985" y="6882341"/>
          <a:ext cx="1153611" cy="21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13</xdr:col>
      <xdr:colOff>232943</xdr:colOff>
      <xdr:row>34</xdr:row>
      <xdr:rowOff>129360</xdr:rowOff>
    </xdr:from>
    <xdr:to>
      <xdr:col>15</xdr:col>
      <xdr:colOff>165400</xdr:colOff>
      <xdr:row>35</xdr:row>
      <xdr:rowOff>151574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DB75B91-860B-B4FD-06EC-4051F5732428}"/>
            </a:ext>
          </a:extLst>
        </xdr:cNvPr>
        <xdr:cNvSpPr txBox="1"/>
      </xdr:nvSpPr>
      <xdr:spPr>
        <a:xfrm>
          <a:off x="8170443" y="6882341"/>
          <a:ext cx="1153611" cy="21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16</xdr:col>
      <xdr:colOff>519670</xdr:colOff>
      <xdr:row>34</xdr:row>
      <xdr:rowOff>129360</xdr:rowOff>
    </xdr:from>
    <xdr:to>
      <xdr:col>18</xdr:col>
      <xdr:colOff>452127</xdr:colOff>
      <xdr:row>35</xdr:row>
      <xdr:rowOff>151574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3045D9D-18F8-42B4-D98A-C56E56A609E1}"/>
            </a:ext>
          </a:extLst>
        </xdr:cNvPr>
        <xdr:cNvSpPr txBox="1"/>
      </xdr:nvSpPr>
      <xdr:spPr>
        <a:xfrm>
          <a:off x="10288901" y="6882341"/>
          <a:ext cx="1153611" cy="21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20</xdr:col>
      <xdr:colOff>305724</xdr:colOff>
      <xdr:row>34</xdr:row>
      <xdr:rowOff>141571</xdr:rowOff>
    </xdr:from>
    <xdr:to>
      <xdr:col>22</xdr:col>
      <xdr:colOff>238181</xdr:colOff>
      <xdr:row>35</xdr:row>
      <xdr:rowOff>163785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019A2E8-08E7-62D9-CA5A-3E9F0690E3D5}"/>
            </a:ext>
          </a:extLst>
        </xdr:cNvPr>
        <xdr:cNvSpPr txBox="1"/>
      </xdr:nvSpPr>
      <xdr:spPr>
        <a:xfrm>
          <a:off x="12517262" y="6894552"/>
          <a:ext cx="1153611" cy="21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vs. previous month</a:t>
          </a:r>
        </a:p>
      </xdr:txBody>
    </xdr:sp>
    <xdr:clientData/>
  </xdr:twoCellAnchor>
  <xdr:twoCellAnchor>
    <xdr:from>
      <xdr:col>6</xdr:col>
      <xdr:colOff>537306</xdr:colOff>
      <xdr:row>18</xdr:row>
      <xdr:rowOff>123577</xdr:rowOff>
    </xdr:from>
    <xdr:to>
      <xdr:col>8</xdr:col>
      <xdr:colOff>244230</xdr:colOff>
      <xdr:row>20</xdr:row>
      <xdr:rowOff>160211</xdr:rowOff>
    </xdr:to>
    <xdr:sp macro="" textlink="Calculations!Q7">
      <xdr:nvSpPr>
        <xdr:cNvPr id="55" name="TextBox 54">
          <a:extLst>
            <a:ext uri="{FF2B5EF4-FFF2-40B4-BE49-F238E27FC236}">
              <a16:creationId xmlns:a16="http://schemas.microsoft.com/office/drawing/2014/main" id="{B62E0A23-4C93-A1C9-5AA5-864CE9970A1D}"/>
            </a:ext>
          </a:extLst>
        </xdr:cNvPr>
        <xdr:cNvSpPr txBox="1"/>
      </xdr:nvSpPr>
      <xdr:spPr>
        <a:xfrm>
          <a:off x="4200768" y="3750404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9C798CD-018C-491E-A072-FFFF431B4566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cs typeface="Segoe UI"/>
            </a:rPr>
            <a:pPr algn="ctr"/>
            <a:t>1530.00</a:t>
          </a:fld>
          <a:endParaRPr lang="en-US" sz="4400" b="1" i="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586153</xdr:colOff>
      <xdr:row>23</xdr:row>
      <xdr:rowOff>115277</xdr:rowOff>
    </xdr:from>
    <xdr:to>
      <xdr:col>7</xdr:col>
      <xdr:colOff>598364</xdr:colOff>
      <xdr:row>25</xdr:row>
      <xdr:rowOff>54219</xdr:rowOff>
    </xdr:to>
    <xdr:sp macro="" textlink="Calculations!S7">
      <xdr:nvSpPr>
        <xdr:cNvPr id="100" name="TextBox 99">
          <a:extLst>
            <a:ext uri="{FF2B5EF4-FFF2-40B4-BE49-F238E27FC236}">
              <a16:creationId xmlns:a16="http://schemas.microsoft.com/office/drawing/2014/main" id="{0816BFED-4259-DB3C-4C17-F3B20945F7EA}"/>
            </a:ext>
          </a:extLst>
        </xdr:cNvPr>
        <xdr:cNvSpPr txBox="1"/>
      </xdr:nvSpPr>
      <xdr:spPr>
        <a:xfrm>
          <a:off x="4249615" y="4719027"/>
          <a:ext cx="622787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2B31A02-E42C-4586-B597-80532B6A4185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cs typeface="Segoe UI"/>
            </a:rPr>
            <a:pPr algn="ctr"/>
            <a:t>#DIV/0!</a:t>
          </a:fld>
          <a:endParaRPr lang="en-US" sz="12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518744</xdr:colOff>
      <xdr:row>10</xdr:row>
      <xdr:rowOff>140187</xdr:rowOff>
    </xdr:from>
    <xdr:to>
      <xdr:col>8</xdr:col>
      <xdr:colOff>225668</xdr:colOff>
      <xdr:row>12</xdr:row>
      <xdr:rowOff>176820</xdr:rowOff>
    </xdr:to>
    <xdr:sp macro="" textlink="Calculations!Q21">
      <xdr:nvSpPr>
        <xdr:cNvPr id="101" name="TextBox 100">
          <a:extLst>
            <a:ext uri="{FF2B5EF4-FFF2-40B4-BE49-F238E27FC236}">
              <a16:creationId xmlns:a16="http://schemas.microsoft.com/office/drawing/2014/main" id="{D18092F1-D142-2BB8-EEE5-904C20DC5CBD}"/>
            </a:ext>
          </a:extLst>
        </xdr:cNvPr>
        <xdr:cNvSpPr txBox="1"/>
      </xdr:nvSpPr>
      <xdr:spPr>
        <a:xfrm>
          <a:off x="4182206" y="2203937"/>
          <a:ext cx="928077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D6FF994-4E04-402B-9DDA-C06F739054EA}" type="TxLink">
            <a:rPr lang="en-US" sz="1600" b="1" i="0" u="none" strike="noStrike">
              <a:ln>
                <a:noFill/>
              </a:ln>
              <a:solidFill>
                <a:schemeClr val="bg1"/>
              </a:solidFill>
              <a:latin typeface="Segoe UI"/>
              <a:ea typeface="+mn-ea"/>
              <a:cs typeface="Segoe UI"/>
            </a:rPr>
            <a:pPr marL="0" indent="0" algn="ctr"/>
            <a:t>33.00</a:t>
          </a:fld>
          <a:endParaRPr lang="en-US" sz="1600" b="1" i="0" u="none" strike="noStrike">
            <a:ln>
              <a:noFill/>
            </a:ln>
            <a:solidFill>
              <a:schemeClr val="bg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11</xdr:col>
      <xdr:colOff>84992</xdr:colOff>
      <xdr:row>10</xdr:row>
      <xdr:rowOff>194895</xdr:rowOff>
    </xdr:from>
    <xdr:to>
      <xdr:col>12</xdr:col>
      <xdr:colOff>402492</xdr:colOff>
      <xdr:row>13</xdr:row>
      <xdr:rowOff>36143</xdr:rowOff>
    </xdr:to>
    <xdr:sp macro="" textlink="Calculations!Q16">
      <xdr:nvSpPr>
        <xdr:cNvPr id="102" name="TextBox 101">
          <a:extLst>
            <a:ext uri="{FF2B5EF4-FFF2-40B4-BE49-F238E27FC236}">
              <a16:creationId xmlns:a16="http://schemas.microsoft.com/office/drawing/2014/main" id="{B8770354-2AA7-CFBE-35C3-B48B70A401E8}"/>
            </a:ext>
          </a:extLst>
        </xdr:cNvPr>
        <xdr:cNvSpPr txBox="1"/>
      </xdr:nvSpPr>
      <xdr:spPr>
        <a:xfrm>
          <a:off x="6801338" y="2258645"/>
          <a:ext cx="928077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B023B5D-EEF6-406A-9C60-50F37A81A22A}" type="TxLink">
            <a:rPr lang="en-US" sz="1600" b="1" i="0" u="none" strike="noStrike">
              <a:ln>
                <a:noFill/>
              </a:ln>
              <a:solidFill>
                <a:schemeClr val="bg1"/>
              </a:solidFill>
              <a:latin typeface="Segoe UI"/>
              <a:ea typeface="+mn-ea"/>
              <a:cs typeface="Segoe UI"/>
            </a:rPr>
            <a:pPr marL="0" indent="0" algn="ctr"/>
            <a:t>18.0%</a:t>
          </a:fld>
          <a:endParaRPr lang="en-US" sz="1600" b="1" i="0" u="none" strike="noStrike">
            <a:ln>
              <a:noFill/>
            </a:ln>
            <a:solidFill>
              <a:schemeClr val="bg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16</xdr:col>
      <xdr:colOff>66429</xdr:colOff>
      <xdr:row>11</xdr:row>
      <xdr:rowOff>42006</xdr:rowOff>
    </xdr:from>
    <xdr:to>
      <xdr:col>17</xdr:col>
      <xdr:colOff>383929</xdr:colOff>
      <xdr:row>13</xdr:row>
      <xdr:rowOff>78639</xdr:rowOff>
    </xdr:to>
    <xdr:sp macro="" textlink="Calculations!Q17">
      <xdr:nvSpPr>
        <xdr:cNvPr id="103" name="TextBox 102">
          <a:extLst>
            <a:ext uri="{FF2B5EF4-FFF2-40B4-BE49-F238E27FC236}">
              <a16:creationId xmlns:a16="http://schemas.microsoft.com/office/drawing/2014/main" id="{71F0B5FA-3DF7-7AE7-550D-640339099F0E}"/>
            </a:ext>
          </a:extLst>
        </xdr:cNvPr>
        <xdr:cNvSpPr txBox="1"/>
      </xdr:nvSpPr>
      <xdr:spPr>
        <a:xfrm>
          <a:off x="9835660" y="2301141"/>
          <a:ext cx="928077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4BF45BF-82BB-4223-A41F-662C955BA492}" type="TxLink">
            <a:rPr lang="en-US" sz="1600" b="1" i="0" u="none" strike="noStrike">
              <a:ln>
                <a:noFill/>
              </a:ln>
              <a:solidFill>
                <a:schemeClr val="bg1"/>
              </a:solidFill>
              <a:latin typeface="Segoe UI"/>
              <a:ea typeface="+mn-ea"/>
              <a:cs typeface="Segoe UI"/>
            </a:rPr>
            <a:pPr marL="0" indent="0" algn="ctr"/>
            <a:t>85.0%</a:t>
          </a:fld>
          <a:endParaRPr lang="en-US" sz="1600" b="1" i="0" u="none" strike="noStrike">
            <a:ln>
              <a:noFill/>
            </a:ln>
            <a:solidFill>
              <a:schemeClr val="bg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328734</xdr:colOff>
      <xdr:row>11</xdr:row>
      <xdr:rowOff>72290</xdr:rowOff>
    </xdr:from>
    <xdr:to>
      <xdr:col>22</xdr:col>
      <xdr:colOff>35657</xdr:colOff>
      <xdr:row>13</xdr:row>
      <xdr:rowOff>108923</xdr:rowOff>
    </xdr:to>
    <xdr:sp macro="" textlink="Calculations!Q18">
      <xdr:nvSpPr>
        <xdr:cNvPr id="104" name="TextBox 103">
          <a:extLst>
            <a:ext uri="{FF2B5EF4-FFF2-40B4-BE49-F238E27FC236}">
              <a16:creationId xmlns:a16="http://schemas.microsoft.com/office/drawing/2014/main" id="{7E8C5D4F-079E-C5B0-97D4-397AA40EAD35}"/>
            </a:ext>
          </a:extLst>
        </xdr:cNvPr>
        <xdr:cNvSpPr txBox="1"/>
      </xdr:nvSpPr>
      <xdr:spPr>
        <a:xfrm>
          <a:off x="12540272" y="2331425"/>
          <a:ext cx="928077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8179FD9-7E13-4544-B7E1-F0410E827BCC}" type="TxLink">
            <a:rPr lang="en-US" sz="1600" b="1" i="0" u="none" strike="noStrike">
              <a:ln>
                <a:noFill/>
              </a:ln>
              <a:solidFill>
                <a:schemeClr val="bg1"/>
              </a:solidFill>
              <a:latin typeface="Segoe UI"/>
              <a:ea typeface="+mn-ea"/>
              <a:cs typeface="Segoe UI"/>
            </a:rPr>
            <a:pPr marL="0" indent="0" algn="ctr"/>
            <a:t>50.0%</a:t>
          </a:fld>
          <a:endParaRPr lang="en-US" sz="1600" b="1" i="0" u="none" strike="noStrike">
            <a:ln>
              <a:noFill/>
            </a:ln>
            <a:solidFill>
              <a:schemeClr val="bg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10</xdr:col>
      <xdr:colOff>158261</xdr:colOff>
      <xdr:row>18</xdr:row>
      <xdr:rowOff>123577</xdr:rowOff>
    </xdr:from>
    <xdr:to>
      <xdr:col>11</xdr:col>
      <xdr:colOff>475761</xdr:colOff>
      <xdr:row>20</xdr:row>
      <xdr:rowOff>160211</xdr:rowOff>
    </xdr:to>
    <xdr:sp macro="" textlink="Calculations!Q6">
      <xdr:nvSpPr>
        <xdr:cNvPr id="105" name="TextBox 104">
          <a:extLst>
            <a:ext uri="{FF2B5EF4-FFF2-40B4-BE49-F238E27FC236}">
              <a16:creationId xmlns:a16="http://schemas.microsoft.com/office/drawing/2014/main" id="{01396B09-FBBB-E185-E428-D9AC1AF94D20}"/>
            </a:ext>
          </a:extLst>
        </xdr:cNvPr>
        <xdr:cNvSpPr txBox="1"/>
      </xdr:nvSpPr>
      <xdr:spPr>
        <a:xfrm>
          <a:off x="6264030" y="3750404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1AFA213-894C-4BCB-BC50-F2AD905BC2EA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cs typeface="Segoe UI"/>
            </a:rPr>
            <a:pPr algn="ctr"/>
            <a:t>8.0%</a:t>
          </a:fld>
          <a:endParaRPr lang="en-US" sz="8000" b="1" i="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389792</xdr:colOff>
      <xdr:row>18</xdr:row>
      <xdr:rowOff>123577</xdr:rowOff>
    </xdr:from>
    <xdr:to>
      <xdr:col>15</xdr:col>
      <xdr:colOff>96715</xdr:colOff>
      <xdr:row>20</xdr:row>
      <xdr:rowOff>160211</xdr:rowOff>
    </xdr:to>
    <xdr:sp macro="" textlink="Calculations!Q9">
      <xdr:nvSpPr>
        <xdr:cNvPr id="107" name="TextBox 106">
          <a:extLst>
            <a:ext uri="{FF2B5EF4-FFF2-40B4-BE49-F238E27FC236}">
              <a16:creationId xmlns:a16="http://schemas.microsoft.com/office/drawing/2014/main" id="{652D589E-CFED-C062-4367-DA1DB586FA9E}"/>
            </a:ext>
          </a:extLst>
        </xdr:cNvPr>
        <xdr:cNvSpPr txBox="1"/>
      </xdr:nvSpPr>
      <xdr:spPr>
        <a:xfrm>
          <a:off x="8327292" y="3750404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545DED0-39BC-44E4-AC12-6602F2FC755C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76.0%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17</xdr:col>
      <xdr:colOff>10746</xdr:colOff>
      <xdr:row>18</xdr:row>
      <xdr:rowOff>123577</xdr:rowOff>
    </xdr:from>
    <xdr:to>
      <xdr:col>18</xdr:col>
      <xdr:colOff>328246</xdr:colOff>
      <xdr:row>20</xdr:row>
      <xdr:rowOff>160211</xdr:rowOff>
    </xdr:to>
    <xdr:sp macro="" textlink="Calculations!S11">
      <xdr:nvSpPr>
        <xdr:cNvPr id="108" name="TextBox 107">
          <a:extLst>
            <a:ext uri="{FF2B5EF4-FFF2-40B4-BE49-F238E27FC236}">
              <a16:creationId xmlns:a16="http://schemas.microsoft.com/office/drawing/2014/main" id="{02167D1C-C8F1-876F-035A-82AE928F42AE}"/>
            </a:ext>
          </a:extLst>
        </xdr:cNvPr>
        <xdr:cNvSpPr txBox="1"/>
      </xdr:nvSpPr>
      <xdr:spPr>
        <a:xfrm>
          <a:off x="10390554" y="3750404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DF65280-40C0-451D-9E1E-97C30CF1972C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#DIV/0!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242276</xdr:colOff>
      <xdr:row>18</xdr:row>
      <xdr:rowOff>123577</xdr:rowOff>
    </xdr:from>
    <xdr:to>
      <xdr:col>21</xdr:col>
      <xdr:colOff>559776</xdr:colOff>
      <xdr:row>20</xdr:row>
      <xdr:rowOff>160211</xdr:rowOff>
    </xdr:to>
    <xdr:sp macro="" textlink="Calculations!Q8">
      <xdr:nvSpPr>
        <xdr:cNvPr id="109" name="TextBox 108">
          <a:extLst>
            <a:ext uri="{FF2B5EF4-FFF2-40B4-BE49-F238E27FC236}">
              <a16:creationId xmlns:a16="http://schemas.microsoft.com/office/drawing/2014/main" id="{FEE91BBA-ECF0-FEAD-5FC0-DC61F297B63B}"/>
            </a:ext>
          </a:extLst>
        </xdr:cNvPr>
        <xdr:cNvSpPr txBox="1"/>
      </xdr:nvSpPr>
      <xdr:spPr>
        <a:xfrm>
          <a:off x="12453814" y="3750404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0714BB1-A919-4941-8FD3-D3CB151566F1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56.0%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10</xdr:col>
      <xdr:colOff>134326</xdr:colOff>
      <xdr:row>23</xdr:row>
      <xdr:rowOff>115277</xdr:rowOff>
    </xdr:from>
    <xdr:to>
      <xdr:col>11</xdr:col>
      <xdr:colOff>274514</xdr:colOff>
      <xdr:row>25</xdr:row>
      <xdr:rowOff>54219</xdr:rowOff>
    </xdr:to>
    <xdr:sp macro="" textlink="Calculations!S6">
      <xdr:nvSpPr>
        <xdr:cNvPr id="110" name="TextBox 109">
          <a:extLst>
            <a:ext uri="{FF2B5EF4-FFF2-40B4-BE49-F238E27FC236}">
              <a16:creationId xmlns:a16="http://schemas.microsoft.com/office/drawing/2014/main" id="{28368256-A6C0-4DA4-8951-069B3C78EA97}"/>
            </a:ext>
          </a:extLst>
        </xdr:cNvPr>
        <xdr:cNvSpPr txBox="1"/>
      </xdr:nvSpPr>
      <xdr:spPr>
        <a:xfrm>
          <a:off x="6240095" y="4719027"/>
          <a:ext cx="750765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6957216-C57E-4C22-8C8A-125BF8F6CA7D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13</xdr:col>
      <xdr:colOff>512885</xdr:colOff>
      <xdr:row>23</xdr:row>
      <xdr:rowOff>115277</xdr:rowOff>
    </xdr:from>
    <xdr:to>
      <xdr:col>14</xdr:col>
      <xdr:colOff>561241</xdr:colOff>
      <xdr:row>25</xdr:row>
      <xdr:rowOff>54219</xdr:rowOff>
    </xdr:to>
    <xdr:sp macro="" textlink="Calculations!S9">
      <xdr:nvSpPr>
        <xdr:cNvPr id="111" name="TextBox 110">
          <a:extLst>
            <a:ext uri="{FF2B5EF4-FFF2-40B4-BE49-F238E27FC236}">
              <a16:creationId xmlns:a16="http://schemas.microsoft.com/office/drawing/2014/main" id="{EBD62608-1D24-34AD-BC65-FB4ECC6DA178}"/>
            </a:ext>
          </a:extLst>
        </xdr:cNvPr>
        <xdr:cNvSpPr txBox="1"/>
      </xdr:nvSpPr>
      <xdr:spPr>
        <a:xfrm>
          <a:off x="8450385" y="4719027"/>
          <a:ext cx="658933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5277160-DFE4-4E9F-AD53-DDD3BA622646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17</xdr:col>
      <xdr:colOff>134325</xdr:colOff>
      <xdr:row>23</xdr:row>
      <xdr:rowOff>115277</xdr:rowOff>
    </xdr:from>
    <xdr:to>
      <xdr:col>18</xdr:col>
      <xdr:colOff>237391</xdr:colOff>
      <xdr:row>25</xdr:row>
      <xdr:rowOff>54219</xdr:rowOff>
    </xdr:to>
    <xdr:sp macro="" textlink="Calculations!S10">
      <xdr:nvSpPr>
        <xdr:cNvPr id="112" name="TextBox 111">
          <a:extLst>
            <a:ext uri="{FF2B5EF4-FFF2-40B4-BE49-F238E27FC236}">
              <a16:creationId xmlns:a16="http://schemas.microsoft.com/office/drawing/2014/main" id="{8B744556-AA54-BE26-04C3-14E5ED4F7742}"/>
            </a:ext>
          </a:extLst>
        </xdr:cNvPr>
        <xdr:cNvSpPr txBox="1"/>
      </xdr:nvSpPr>
      <xdr:spPr>
        <a:xfrm>
          <a:off x="10514133" y="4719027"/>
          <a:ext cx="713643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1886DD1-10E1-4F7E-8E27-09ACBA0A8485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451827</xdr:colOff>
      <xdr:row>23</xdr:row>
      <xdr:rowOff>115277</xdr:rowOff>
    </xdr:from>
    <xdr:to>
      <xdr:col>21</xdr:col>
      <xdr:colOff>524119</xdr:colOff>
      <xdr:row>25</xdr:row>
      <xdr:rowOff>54219</xdr:rowOff>
    </xdr:to>
    <xdr:sp macro="" textlink="Calculations!S8">
      <xdr:nvSpPr>
        <xdr:cNvPr id="113" name="TextBox 112">
          <a:extLst>
            <a:ext uri="{FF2B5EF4-FFF2-40B4-BE49-F238E27FC236}">
              <a16:creationId xmlns:a16="http://schemas.microsoft.com/office/drawing/2014/main" id="{0400F12B-898C-AD9E-456F-7921C5CD90C0}"/>
            </a:ext>
          </a:extLst>
        </xdr:cNvPr>
        <xdr:cNvSpPr txBox="1"/>
      </xdr:nvSpPr>
      <xdr:spPr>
        <a:xfrm>
          <a:off x="12663365" y="4719027"/>
          <a:ext cx="682869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9E2064-C578-4AB3-A2C4-1F5D5F5BA158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6</xdr:col>
      <xdr:colOff>482109</xdr:colOff>
      <xdr:row>28</xdr:row>
      <xdr:rowOff>117226</xdr:rowOff>
    </xdr:from>
    <xdr:to>
      <xdr:col>8</xdr:col>
      <xdr:colOff>189033</xdr:colOff>
      <xdr:row>30</xdr:row>
      <xdr:rowOff>153860</xdr:rowOff>
    </xdr:to>
    <xdr:sp macro="" textlink="Calculations!Q11">
      <xdr:nvSpPr>
        <xdr:cNvPr id="114" name="TextBox 113">
          <a:extLst>
            <a:ext uri="{FF2B5EF4-FFF2-40B4-BE49-F238E27FC236}">
              <a16:creationId xmlns:a16="http://schemas.microsoft.com/office/drawing/2014/main" id="{36CC0165-B188-870C-2617-BFC69231AE6E}"/>
            </a:ext>
          </a:extLst>
        </xdr:cNvPr>
        <xdr:cNvSpPr txBox="1"/>
      </xdr:nvSpPr>
      <xdr:spPr>
        <a:xfrm>
          <a:off x="4145571" y="5697899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62EE1EF-B9C9-458E-86B3-ED6AD2D9F425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45.0%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6</xdr:col>
      <xdr:colOff>512884</xdr:colOff>
      <xdr:row>33</xdr:row>
      <xdr:rowOff>108927</xdr:rowOff>
    </xdr:from>
    <xdr:to>
      <xdr:col>7</xdr:col>
      <xdr:colOff>543168</xdr:colOff>
      <xdr:row>35</xdr:row>
      <xdr:rowOff>47870</xdr:rowOff>
    </xdr:to>
    <xdr:sp macro="" textlink="Calculations!S11">
      <xdr:nvSpPr>
        <xdr:cNvPr id="115" name="TextBox 114">
          <a:extLst>
            <a:ext uri="{FF2B5EF4-FFF2-40B4-BE49-F238E27FC236}">
              <a16:creationId xmlns:a16="http://schemas.microsoft.com/office/drawing/2014/main" id="{FDFA5A48-946C-2C02-743C-FBD99600E902}"/>
            </a:ext>
          </a:extLst>
        </xdr:cNvPr>
        <xdr:cNvSpPr txBox="1"/>
      </xdr:nvSpPr>
      <xdr:spPr>
        <a:xfrm>
          <a:off x="4176346" y="6666523"/>
          <a:ext cx="640860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DCF7AF6-76E3-40A6-869A-471B84ADD7B8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10</xdr:col>
      <xdr:colOff>103064</xdr:colOff>
      <xdr:row>28</xdr:row>
      <xdr:rowOff>117226</xdr:rowOff>
    </xdr:from>
    <xdr:to>
      <xdr:col>11</xdr:col>
      <xdr:colOff>420564</xdr:colOff>
      <xdr:row>30</xdr:row>
      <xdr:rowOff>153860</xdr:rowOff>
    </xdr:to>
    <xdr:sp macro="" textlink="Calculations!Q12">
      <xdr:nvSpPr>
        <xdr:cNvPr id="116" name="TextBox 115">
          <a:extLst>
            <a:ext uri="{FF2B5EF4-FFF2-40B4-BE49-F238E27FC236}">
              <a16:creationId xmlns:a16="http://schemas.microsoft.com/office/drawing/2014/main" id="{8948617B-E70C-1B4A-A895-33CCBFC89822}"/>
            </a:ext>
          </a:extLst>
        </xdr:cNvPr>
        <xdr:cNvSpPr txBox="1"/>
      </xdr:nvSpPr>
      <xdr:spPr>
        <a:xfrm>
          <a:off x="6208833" y="5697899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C9DA7C0-F837-408F-ACB6-0C9E45C62EE9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5.1%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13</xdr:col>
      <xdr:colOff>334595</xdr:colOff>
      <xdr:row>28</xdr:row>
      <xdr:rowOff>117226</xdr:rowOff>
    </xdr:from>
    <xdr:to>
      <xdr:col>15</xdr:col>
      <xdr:colOff>41518</xdr:colOff>
      <xdr:row>30</xdr:row>
      <xdr:rowOff>153860</xdr:rowOff>
    </xdr:to>
    <xdr:sp macro="" textlink="Calculations!Q13">
      <xdr:nvSpPr>
        <xdr:cNvPr id="117" name="TextBox 116">
          <a:extLst>
            <a:ext uri="{FF2B5EF4-FFF2-40B4-BE49-F238E27FC236}">
              <a16:creationId xmlns:a16="http://schemas.microsoft.com/office/drawing/2014/main" id="{D459B4D2-FAD8-A794-45B0-DDDC861F238D}"/>
            </a:ext>
          </a:extLst>
        </xdr:cNvPr>
        <xdr:cNvSpPr txBox="1"/>
      </xdr:nvSpPr>
      <xdr:spPr>
        <a:xfrm>
          <a:off x="8272095" y="5697899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0883039-1B16-4B9A-A594-9F4C52BC972E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10.00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16</xdr:col>
      <xdr:colOff>566126</xdr:colOff>
      <xdr:row>28</xdr:row>
      <xdr:rowOff>117226</xdr:rowOff>
    </xdr:from>
    <xdr:to>
      <xdr:col>18</xdr:col>
      <xdr:colOff>273049</xdr:colOff>
      <xdr:row>30</xdr:row>
      <xdr:rowOff>153860</xdr:rowOff>
    </xdr:to>
    <xdr:sp macro="" textlink="Calculations!Q14">
      <xdr:nvSpPr>
        <xdr:cNvPr id="118" name="TextBox 117">
          <a:extLst>
            <a:ext uri="{FF2B5EF4-FFF2-40B4-BE49-F238E27FC236}">
              <a16:creationId xmlns:a16="http://schemas.microsoft.com/office/drawing/2014/main" id="{605D710B-397D-34C9-E705-8ECEF79E3289}"/>
            </a:ext>
          </a:extLst>
        </xdr:cNvPr>
        <xdr:cNvSpPr txBox="1"/>
      </xdr:nvSpPr>
      <xdr:spPr>
        <a:xfrm>
          <a:off x="10335357" y="5697899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E53E1F9-FEF6-4DBF-8C5F-161A3729EF93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42.1%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382463</xdr:colOff>
      <xdr:row>28</xdr:row>
      <xdr:rowOff>117226</xdr:rowOff>
    </xdr:from>
    <xdr:to>
      <xdr:col>22</xdr:col>
      <xdr:colOff>89386</xdr:colOff>
      <xdr:row>30</xdr:row>
      <xdr:rowOff>153860</xdr:rowOff>
    </xdr:to>
    <xdr:sp macro="" textlink="Calculations!Q15">
      <xdr:nvSpPr>
        <xdr:cNvPr id="119" name="TextBox 118">
          <a:extLst>
            <a:ext uri="{FF2B5EF4-FFF2-40B4-BE49-F238E27FC236}">
              <a16:creationId xmlns:a16="http://schemas.microsoft.com/office/drawing/2014/main" id="{B5B4D5D9-320B-06A7-41F4-49267422F1A1}"/>
            </a:ext>
          </a:extLst>
        </xdr:cNvPr>
        <xdr:cNvSpPr txBox="1"/>
      </xdr:nvSpPr>
      <xdr:spPr>
        <a:xfrm>
          <a:off x="12594001" y="5697899"/>
          <a:ext cx="928077" cy="427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80666F2-5373-4C50-AF59-F35EDA08AA73}" type="TxLink">
            <a:rPr lang="en-US" sz="1600" b="1" i="0" u="none" strike="noStrike">
              <a:ln>
                <a:noFill/>
              </a:ln>
              <a:solidFill>
                <a:schemeClr val="tx1"/>
              </a:solidFill>
              <a:latin typeface="Segoe UI"/>
              <a:ea typeface="+mn-ea"/>
              <a:cs typeface="Segoe UI"/>
            </a:rPr>
            <a:pPr marL="0" indent="0" algn="ctr"/>
            <a:t>15.0%</a:t>
          </a:fld>
          <a:endParaRPr lang="en-US" sz="1600" b="1" i="0" u="none" strike="noStrike">
            <a:ln>
              <a:noFill/>
            </a:ln>
            <a:solidFill>
              <a:schemeClr val="tx1"/>
            </a:solidFill>
            <a:latin typeface="Segoe UI"/>
            <a:ea typeface="+mn-ea"/>
            <a:cs typeface="Segoe UI"/>
          </a:endParaRPr>
        </a:p>
      </xdr:txBody>
    </xdr:sp>
    <xdr:clientData/>
  </xdr:twoCellAnchor>
  <xdr:twoCellAnchor>
    <xdr:from>
      <xdr:col>10</xdr:col>
      <xdr:colOff>255951</xdr:colOff>
      <xdr:row>33</xdr:row>
      <xdr:rowOff>108927</xdr:rowOff>
    </xdr:from>
    <xdr:to>
      <xdr:col>11</xdr:col>
      <xdr:colOff>305289</xdr:colOff>
      <xdr:row>35</xdr:row>
      <xdr:rowOff>47870</xdr:rowOff>
    </xdr:to>
    <xdr:sp macro="" textlink="Calculations!S12">
      <xdr:nvSpPr>
        <xdr:cNvPr id="120" name="TextBox 119">
          <a:extLst>
            <a:ext uri="{FF2B5EF4-FFF2-40B4-BE49-F238E27FC236}">
              <a16:creationId xmlns:a16="http://schemas.microsoft.com/office/drawing/2014/main" id="{8127CAD5-1DE0-09B5-F944-346F97C2FBF9}"/>
            </a:ext>
          </a:extLst>
        </xdr:cNvPr>
        <xdr:cNvSpPr txBox="1"/>
      </xdr:nvSpPr>
      <xdr:spPr>
        <a:xfrm>
          <a:off x="6361720" y="6666523"/>
          <a:ext cx="659915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08FA45D-51A5-491F-B485-189A75C035B4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13</xdr:col>
      <xdr:colOff>396140</xdr:colOff>
      <xdr:row>33</xdr:row>
      <xdr:rowOff>96715</xdr:rowOff>
    </xdr:from>
    <xdr:to>
      <xdr:col>14</xdr:col>
      <xdr:colOff>549520</xdr:colOff>
      <xdr:row>35</xdr:row>
      <xdr:rowOff>35658</xdr:rowOff>
    </xdr:to>
    <xdr:sp macro="" textlink="Calculations!S13">
      <xdr:nvSpPr>
        <xdr:cNvPr id="121" name="TextBox 120">
          <a:extLst>
            <a:ext uri="{FF2B5EF4-FFF2-40B4-BE49-F238E27FC236}">
              <a16:creationId xmlns:a16="http://schemas.microsoft.com/office/drawing/2014/main" id="{09C04B36-03EA-B589-049D-B33A0080D842}"/>
            </a:ext>
          </a:extLst>
        </xdr:cNvPr>
        <xdr:cNvSpPr txBox="1"/>
      </xdr:nvSpPr>
      <xdr:spPr>
        <a:xfrm>
          <a:off x="8333640" y="6654311"/>
          <a:ext cx="763957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B6D0106-F1B9-4771-9BA2-395D4ED0BF7A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17</xdr:col>
      <xdr:colOff>170962</xdr:colOff>
      <xdr:row>33</xdr:row>
      <xdr:rowOff>108927</xdr:rowOff>
    </xdr:from>
    <xdr:to>
      <xdr:col>18</xdr:col>
      <xdr:colOff>182195</xdr:colOff>
      <xdr:row>35</xdr:row>
      <xdr:rowOff>47870</xdr:rowOff>
    </xdr:to>
    <xdr:sp macro="" textlink="Calculations!S14">
      <xdr:nvSpPr>
        <xdr:cNvPr id="122" name="TextBox 121">
          <a:extLst>
            <a:ext uri="{FF2B5EF4-FFF2-40B4-BE49-F238E27FC236}">
              <a16:creationId xmlns:a16="http://schemas.microsoft.com/office/drawing/2014/main" id="{330FC7E0-4383-A211-9899-7802F1C4AD01}"/>
            </a:ext>
          </a:extLst>
        </xdr:cNvPr>
        <xdr:cNvSpPr txBox="1"/>
      </xdr:nvSpPr>
      <xdr:spPr>
        <a:xfrm>
          <a:off x="10550770" y="6666523"/>
          <a:ext cx="621810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144E989-590D-424C-ABC6-7335D6424C5E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366346</xdr:colOff>
      <xdr:row>33</xdr:row>
      <xdr:rowOff>108927</xdr:rowOff>
    </xdr:from>
    <xdr:to>
      <xdr:col>21</xdr:col>
      <xdr:colOff>468923</xdr:colOff>
      <xdr:row>35</xdr:row>
      <xdr:rowOff>47870</xdr:rowOff>
    </xdr:to>
    <xdr:sp macro="" textlink="Calculations!S15">
      <xdr:nvSpPr>
        <xdr:cNvPr id="123" name="TextBox 122">
          <a:extLst>
            <a:ext uri="{FF2B5EF4-FFF2-40B4-BE49-F238E27FC236}">
              <a16:creationId xmlns:a16="http://schemas.microsoft.com/office/drawing/2014/main" id="{2889E612-478A-23E4-4A06-81F820EF2D7C}"/>
            </a:ext>
          </a:extLst>
        </xdr:cNvPr>
        <xdr:cNvSpPr txBox="1"/>
      </xdr:nvSpPr>
      <xdr:spPr>
        <a:xfrm>
          <a:off x="12577884" y="6666523"/>
          <a:ext cx="713154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D8E2ABF-DC99-4464-A139-80BC0751712E}" type="TxLink">
            <a:rPr lang="en-US" sz="1200" b="1" i="0" u="none" strike="noStrike">
              <a:ln>
                <a:noFill/>
              </a:ln>
              <a:solidFill>
                <a:schemeClr val="tx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tx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7</xdr:col>
      <xdr:colOff>61058</xdr:colOff>
      <xdr:row>13</xdr:row>
      <xdr:rowOff>47870</xdr:rowOff>
    </xdr:from>
    <xdr:to>
      <xdr:col>8</xdr:col>
      <xdr:colOff>133838</xdr:colOff>
      <xdr:row>14</xdr:row>
      <xdr:rowOff>182198</xdr:rowOff>
    </xdr:to>
    <xdr:sp macro="" textlink="Calculations!S21">
      <xdr:nvSpPr>
        <xdr:cNvPr id="124" name="TextBox 123">
          <a:extLst>
            <a:ext uri="{FF2B5EF4-FFF2-40B4-BE49-F238E27FC236}">
              <a16:creationId xmlns:a16="http://schemas.microsoft.com/office/drawing/2014/main" id="{F019D74E-B9B3-47F9-9603-60A03E5F2816}"/>
            </a:ext>
          </a:extLst>
        </xdr:cNvPr>
        <xdr:cNvSpPr txBox="1"/>
      </xdr:nvSpPr>
      <xdr:spPr>
        <a:xfrm>
          <a:off x="4335096" y="2697774"/>
          <a:ext cx="683357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967DC66-2B0A-42EA-B20F-D33B4CDDB282}" type="TxLink">
            <a:rPr lang="en-US" sz="1200" b="1" i="0" u="none" strike="noStrike">
              <a:ln>
                <a:noFill/>
              </a:ln>
              <a:solidFill>
                <a:schemeClr val="bg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bg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11</xdr:col>
      <xdr:colOff>146539</xdr:colOff>
      <xdr:row>12</xdr:row>
      <xdr:rowOff>102576</xdr:rowOff>
    </xdr:from>
    <xdr:to>
      <xdr:col>12</xdr:col>
      <xdr:colOff>225181</xdr:colOff>
      <xdr:row>14</xdr:row>
      <xdr:rowOff>41519</xdr:rowOff>
    </xdr:to>
    <xdr:sp macro="" textlink="Calculations!S16">
      <xdr:nvSpPr>
        <xdr:cNvPr id="125" name="TextBox 124">
          <a:extLst>
            <a:ext uri="{FF2B5EF4-FFF2-40B4-BE49-F238E27FC236}">
              <a16:creationId xmlns:a16="http://schemas.microsoft.com/office/drawing/2014/main" id="{E8B1C0A8-A39B-42C4-B3AA-F863098DBFED}"/>
            </a:ext>
          </a:extLst>
        </xdr:cNvPr>
        <xdr:cNvSpPr txBox="1"/>
      </xdr:nvSpPr>
      <xdr:spPr>
        <a:xfrm>
          <a:off x="6862885" y="2557095"/>
          <a:ext cx="689219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68B594F-C7A2-4D0E-982D-66D2DC792F5F}" type="TxLink">
            <a:rPr lang="en-US" sz="1200" b="1" i="0" u="none" strike="noStrike">
              <a:ln>
                <a:noFill/>
              </a:ln>
              <a:solidFill>
                <a:schemeClr val="bg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bg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16</xdr:col>
      <xdr:colOff>158750</xdr:colOff>
      <xdr:row>12</xdr:row>
      <xdr:rowOff>120649</xdr:rowOff>
    </xdr:from>
    <xdr:to>
      <xdr:col>17</xdr:col>
      <xdr:colOff>218831</xdr:colOff>
      <xdr:row>14</xdr:row>
      <xdr:rowOff>59592</xdr:rowOff>
    </xdr:to>
    <xdr:sp macro="" textlink="Calculations!S17">
      <xdr:nvSpPr>
        <xdr:cNvPr id="126" name="TextBox 125">
          <a:extLst>
            <a:ext uri="{FF2B5EF4-FFF2-40B4-BE49-F238E27FC236}">
              <a16:creationId xmlns:a16="http://schemas.microsoft.com/office/drawing/2014/main" id="{3E0662AA-D829-4851-A8AD-C55A5F560545}"/>
            </a:ext>
          </a:extLst>
        </xdr:cNvPr>
        <xdr:cNvSpPr txBox="1"/>
      </xdr:nvSpPr>
      <xdr:spPr>
        <a:xfrm>
          <a:off x="9927981" y="2575168"/>
          <a:ext cx="670658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DB20BDE-8E50-4819-AFE7-A8F05CFC140F}" type="TxLink">
            <a:rPr lang="en-US" sz="1200" b="1" i="0" u="none" strike="noStrike">
              <a:ln>
                <a:noFill/>
              </a:ln>
              <a:solidFill>
                <a:schemeClr val="bg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bg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20</xdr:col>
      <xdr:colOff>378559</xdr:colOff>
      <xdr:row>12</xdr:row>
      <xdr:rowOff>187567</xdr:rowOff>
    </xdr:from>
    <xdr:to>
      <xdr:col>21</xdr:col>
      <xdr:colOff>420078</xdr:colOff>
      <xdr:row>14</xdr:row>
      <xdr:rowOff>126510</xdr:rowOff>
    </xdr:to>
    <xdr:sp macro="" textlink="Calculations!S18">
      <xdr:nvSpPr>
        <xdr:cNvPr id="127" name="TextBox 126">
          <a:extLst>
            <a:ext uri="{FF2B5EF4-FFF2-40B4-BE49-F238E27FC236}">
              <a16:creationId xmlns:a16="http://schemas.microsoft.com/office/drawing/2014/main" id="{18348A7C-32E2-4C55-8C34-1E6297B4D306}"/>
            </a:ext>
          </a:extLst>
        </xdr:cNvPr>
        <xdr:cNvSpPr txBox="1"/>
      </xdr:nvSpPr>
      <xdr:spPr>
        <a:xfrm>
          <a:off x="12590097" y="2642086"/>
          <a:ext cx="652096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CA2DC29-67D3-4EB4-B4AC-8F87E4E67899}" type="TxLink">
            <a:rPr lang="en-US" sz="1200" b="1" i="0" u="none" strike="noStrike">
              <a:ln>
                <a:noFill/>
              </a:ln>
              <a:solidFill>
                <a:schemeClr val="bg1"/>
              </a:solidFill>
              <a:latin typeface="Aptos Narrow"/>
              <a:ea typeface="+mn-ea"/>
              <a:cs typeface="Segoe UI"/>
            </a:rPr>
            <a:pPr marL="0" indent="0" algn="ctr"/>
            <a:t>#DIV/0!</a:t>
          </a:fld>
          <a:endParaRPr lang="en-US" sz="1200" b="1" i="0" u="none" strike="noStrike">
            <a:ln>
              <a:noFill/>
            </a:ln>
            <a:solidFill>
              <a:schemeClr val="bg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9</xdr:col>
      <xdr:colOff>207595</xdr:colOff>
      <xdr:row>20</xdr:row>
      <xdr:rowOff>96717</xdr:rowOff>
    </xdr:from>
    <xdr:to>
      <xdr:col>12</xdr:col>
      <xdr:colOff>366345</xdr:colOff>
      <xdr:row>24</xdr:row>
      <xdr:rowOff>24424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6E3B094F-4677-4FCB-867E-01AB4C55E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586153</xdr:colOff>
      <xdr:row>20</xdr:row>
      <xdr:rowOff>12212</xdr:rowOff>
    </xdr:from>
    <xdr:to>
      <xdr:col>9</xdr:col>
      <xdr:colOff>61058</xdr:colOff>
      <xdr:row>24</xdr:row>
      <xdr:rowOff>1</xdr:rowOff>
    </xdr:to>
    <xdr:graphicFrame macro="">
      <xdr:nvGraphicFramePr>
        <xdr:cNvPr id="131" name="Chart 130">
          <a:extLst>
            <a:ext uri="{FF2B5EF4-FFF2-40B4-BE49-F238E27FC236}">
              <a16:creationId xmlns:a16="http://schemas.microsoft.com/office/drawing/2014/main" id="{3E214197-6CAA-43FB-A315-4453C47E4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530958</xdr:colOff>
      <xdr:row>20</xdr:row>
      <xdr:rowOff>176823</xdr:rowOff>
    </xdr:from>
    <xdr:to>
      <xdr:col>16</xdr:col>
      <xdr:colOff>5862</xdr:colOff>
      <xdr:row>24</xdr:row>
      <xdr:rowOff>36635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4F7FFCE8-CBC7-2103-BADF-9F42D40BC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451338</xdr:colOff>
      <xdr:row>20</xdr:row>
      <xdr:rowOff>146050</xdr:rowOff>
    </xdr:from>
    <xdr:to>
      <xdr:col>22</xdr:col>
      <xdr:colOff>536820</xdr:colOff>
      <xdr:row>24</xdr:row>
      <xdr:rowOff>5862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F351339C-243F-58B1-E524-0FEE07ABC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164609</xdr:colOff>
      <xdr:row>20</xdr:row>
      <xdr:rowOff>134327</xdr:rowOff>
    </xdr:from>
    <xdr:to>
      <xdr:col>19</xdr:col>
      <xdr:colOff>323359</xdr:colOff>
      <xdr:row>24</xdr:row>
      <xdr:rowOff>12211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57E33315-B3CD-2375-087A-4A5A8FFB8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536815</xdr:colOff>
      <xdr:row>30</xdr:row>
      <xdr:rowOff>35170</xdr:rowOff>
    </xdr:from>
    <xdr:to>
      <xdr:col>9</xdr:col>
      <xdr:colOff>84989</xdr:colOff>
      <xdr:row>34</xdr:row>
      <xdr:rowOff>29918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6970848E-3CF9-8BC4-2975-3CC08376C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274515</xdr:colOff>
      <xdr:row>29</xdr:row>
      <xdr:rowOff>189033</xdr:rowOff>
    </xdr:from>
    <xdr:to>
      <xdr:col>12</xdr:col>
      <xdr:colOff>359996</xdr:colOff>
      <xdr:row>34</xdr:row>
      <xdr:rowOff>0</xdr:rowOff>
    </xdr:to>
    <xdr:graphicFrame macro="">
      <xdr:nvGraphicFramePr>
        <xdr:cNvPr id="139" name="Chart 138">
          <a:extLst>
            <a:ext uri="{FF2B5EF4-FFF2-40B4-BE49-F238E27FC236}">
              <a16:creationId xmlns:a16="http://schemas.microsoft.com/office/drawing/2014/main" id="{1BD0D30A-2743-BC53-7B98-19BCAB2DC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506042</xdr:colOff>
      <xdr:row>30</xdr:row>
      <xdr:rowOff>16608</xdr:rowOff>
    </xdr:from>
    <xdr:to>
      <xdr:col>16</xdr:col>
      <xdr:colOff>54215</xdr:colOff>
      <xdr:row>34</xdr:row>
      <xdr:rowOff>11356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9B00B949-8B6A-5EA1-EB30-00181214C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243741</xdr:colOff>
      <xdr:row>29</xdr:row>
      <xdr:rowOff>170471</xdr:rowOff>
    </xdr:from>
    <xdr:to>
      <xdr:col>19</xdr:col>
      <xdr:colOff>329222</xdr:colOff>
      <xdr:row>34</xdr:row>
      <xdr:rowOff>0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78D9F775-398A-3F30-0C94-AAF71C80D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555379</xdr:colOff>
      <xdr:row>4</xdr:row>
      <xdr:rowOff>12211</xdr:rowOff>
    </xdr:from>
    <xdr:to>
      <xdr:col>22</xdr:col>
      <xdr:colOff>586153</xdr:colOff>
      <xdr:row>6</xdr:row>
      <xdr:rowOff>109659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3B3B7936-5CA8-A99A-CA33-C5A93E558ACF}"/>
            </a:ext>
          </a:extLst>
        </xdr:cNvPr>
        <xdr:cNvSpPr/>
      </xdr:nvSpPr>
      <xdr:spPr>
        <a:xfrm>
          <a:off x="3608264" y="793749"/>
          <a:ext cx="10410581" cy="488218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438634</xdr:colOff>
      <xdr:row>30</xdr:row>
      <xdr:rowOff>10258</xdr:rowOff>
    </xdr:from>
    <xdr:to>
      <xdr:col>22</xdr:col>
      <xdr:colOff>597385</xdr:colOff>
      <xdr:row>34</xdr:row>
      <xdr:rowOff>5006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38648482-967E-AC4F-3017-80C84B828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457199</xdr:colOff>
      <xdr:row>4</xdr:row>
      <xdr:rowOff>42007</xdr:rowOff>
    </xdr:from>
    <xdr:to>
      <xdr:col>20</xdr:col>
      <xdr:colOff>85480</xdr:colOff>
      <xdr:row>6</xdr:row>
      <xdr:rowOff>78639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05B58DA-6EFD-33F0-830A-C2C9E1B74AA5}"/>
            </a:ext>
          </a:extLst>
        </xdr:cNvPr>
        <xdr:cNvSpPr txBox="1"/>
      </xdr:nvSpPr>
      <xdr:spPr>
        <a:xfrm>
          <a:off x="5952391" y="823545"/>
          <a:ext cx="6344627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2000" b="1" i="0" u="none" strike="noStrike">
              <a:ln>
                <a:noFill/>
              </a:ln>
              <a:solidFill>
                <a:schemeClr val="bg1"/>
              </a:solidFill>
              <a:latin typeface="Segoe UI"/>
              <a:ea typeface="+mn-ea"/>
              <a:cs typeface="Segoe UI"/>
            </a:rPr>
            <a:t>HUMAN RESOURCE KPI TRACKING DASHBOARD</a:t>
          </a:r>
        </a:p>
      </xdr:txBody>
    </xdr:sp>
    <xdr:clientData/>
  </xdr:twoCellAnchor>
  <xdr:twoCellAnchor>
    <xdr:from>
      <xdr:col>9</xdr:col>
      <xdr:colOff>525096</xdr:colOff>
      <xdr:row>8</xdr:row>
      <xdr:rowOff>54219</xdr:rowOff>
    </xdr:from>
    <xdr:to>
      <xdr:col>14</xdr:col>
      <xdr:colOff>109904</xdr:colOff>
      <xdr:row>16</xdr:row>
      <xdr:rowOff>61057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ADE83B32-C3FE-4CCF-BD9E-0030C07A0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469409</xdr:colOff>
      <xdr:row>8</xdr:row>
      <xdr:rowOff>66430</xdr:rowOff>
    </xdr:from>
    <xdr:to>
      <xdr:col>19</xdr:col>
      <xdr:colOff>54217</xdr:colOff>
      <xdr:row>16</xdr:row>
      <xdr:rowOff>73268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A98B989F-4574-4CEE-BC10-359FC0B2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11231</xdr:colOff>
      <xdr:row>8</xdr:row>
      <xdr:rowOff>60081</xdr:rowOff>
    </xdr:from>
    <xdr:to>
      <xdr:col>23</xdr:col>
      <xdr:colOff>206617</xdr:colOff>
      <xdr:row>16</xdr:row>
      <xdr:rowOff>66919</xdr:rowOff>
    </xdr:to>
    <xdr:graphicFrame macro="">
      <xdr:nvGraphicFramePr>
        <xdr:cNvPr id="148" name="Chart 147">
          <a:extLst>
            <a:ext uri="{FF2B5EF4-FFF2-40B4-BE49-F238E27FC236}">
              <a16:creationId xmlns:a16="http://schemas.microsoft.com/office/drawing/2014/main" id="{45150419-FBF9-A89F-9B52-801D3B64B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5</xdr:col>
      <xdr:colOff>439614</xdr:colOff>
      <xdr:row>9</xdr:row>
      <xdr:rowOff>48846</xdr:rowOff>
    </xdr:from>
    <xdr:to>
      <xdr:col>7</xdr:col>
      <xdr:colOff>87477</xdr:colOff>
      <xdr:row>13</xdr:row>
      <xdr:rowOff>136323</xdr:rowOff>
    </xdr:to>
    <xdr:pic>
      <xdr:nvPicPr>
        <xdr:cNvPr id="152" name="Graphic 151" descr="Man outline">
          <a:extLst>
            <a:ext uri="{FF2B5EF4-FFF2-40B4-BE49-F238E27FC236}">
              <a16:creationId xmlns:a16="http://schemas.microsoft.com/office/drawing/2014/main" id="{75172A78-CB3B-CFA1-D1C5-13B3B804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492499" y="1917211"/>
          <a:ext cx="869016" cy="869016"/>
        </a:xfrm>
        <a:prstGeom prst="rect">
          <a:avLst/>
        </a:prstGeom>
      </xdr:spPr>
    </xdr:pic>
    <xdr:clientData/>
  </xdr:twoCellAnchor>
  <xdr:twoCellAnchor editAs="oneCell">
    <xdr:from>
      <xdr:col>7</xdr:col>
      <xdr:colOff>608751</xdr:colOff>
      <xdr:row>8</xdr:row>
      <xdr:rowOff>193558</xdr:rowOff>
    </xdr:from>
    <xdr:to>
      <xdr:col>9</xdr:col>
      <xdr:colOff>301997</xdr:colOff>
      <xdr:row>13</xdr:row>
      <xdr:rowOff>131035</xdr:rowOff>
    </xdr:to>
    <xdr:pic>
      <xdr:nvPicPr>
        <xdr:cNvPr id="156" name="Graphic 155" descr="Woman outline">
          <a:extLst>
            <a:ext uri="{FF2B5EF4-FFF2-40B4-BE49-F238E27FC236}">
              <a16:creationId xmlns:a16="http://schemas.microsoft.com/office/drawing/2014/main" id="{FB456D66-3A15-2EA2-DFD3-B3D70BB1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882789" y="1866539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555380</xdr:colOff>
      <xdr:row>14</xdr:row>
      <xdr:rowOff>4886</xdr:rowOff>
    </xdr:from>
    <xdr:to>
      <xdr:col>7</xdr:col>
      <xdr:colOff>17584</xdr:colOff>
      <xdr:row>15</xdr:row>
      <xdr:rowOff>139213</xdr:rowOff>
    </xdr:to>
    <xdr:sp macro="" textlink="Calculations!Q19">
      <xdr:nvSpPr>
        <xdr:cNvPr id="157" name="TextBox 156">
          <a:extLst>
            <a:ext uri="{FF2B5EF4-FFF2-40B4-BE49-F238E27FC236}">
              <a16:creationId xmlns:a16="http://schemas.microsoft.com/office/drawing/2014/main" id="{CCDE5C05-F9B1-D87A-A4FA-F29E128CC767}"/>
            </a:ext>
          </a:extLst>
        </xdr:cNvPr>
        <xdr:cNvSpPr txBox="1"/>
      </xdr:nvSpPr>
      <xdr:spPr>
        <a:xfrm>
          <a:off x="3608265" y="2850174"/>
          <a:ext cx="683357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0D2FBC9-D8E6-4559-B595-B95044750E26}" type="TxLink">
            <a:rPr lang="en-US" sz="1200" b="1" i="0" u="none" strike="noStrike">
              <a:ln>
                <a:noFill/>
              </a:ln>
              <a:solidFill>
                <a:schemeClr val="accent2"/>
              </a:solidFill>
              <a:latin typeface="Aptos Narrow"/>
              <a:ea typeface="+mn-ea"/>
              <a:cs typeface="Segoe UI"/>
            </a:rPr>
            <a:pPr marL="0" indent="0" algn="ctr"/>
            <a:t>16.00</a:t>
          </a:fld>
          <a:endParaRPr lang="en-US" sz="1200" b="1" i="0" u="none" strike="noStrike">
            <a:ln>
              <a:noFill/>
            </a:ln>
            <a:solidFill>
              <a:schemeClr val="accent2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8</xdr:col>
      <xdr:colOff>146049</xdr:colOff>
      <xdr:row>13</xdr:row>
      <xdr:rowOff>132863</xdr:rowOff>
    </xdr:from>
    <xdr:to>
      <xdr:col>9</xdr:col>
      <xdr:colOff>218829</xdr:colOff>
      <xdr:row>15</xdr:row>
      <xdr:rowOff>71806</xdr:rowOff>
    </xdr:to>
    <xdr:sp macro="" textlink="Calculations!Q20">
      <xdr:nvSpPr>
        <xdr:cNvPr id="158" name="TextBox 157">
          <a:extLst>
            <a:ext uri="{FF2B5EF4-FFF2-40B4-BE49-F238E27FC236}">
              <a16:creationId xmlns:a16="http://schemas.microsoft.com/office/drawing/2014/main" id="{D66DD516-A751-C2B1-D59C-EC297DA43F43}"/>
            </a:ext>
          </a:extLst>
        </xdr:cNvPr>
        <xdr:cNvSpPr txBox="1"/>
      </xdr:nvSpPr>
      <xdr:spPr>
        <a:xfrm>
          <a:off x="5030664" y="2782767"/>
          <a:ext cx="683357" cy="32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7310851-6ABA-4F2F-8167-E8C423F814DF}" type="TxLink">
            <a:rPr lang="en-US" sz="1200" b="1" i="0" u="none" strike="noStrike">
              <a:ln>
                <a:noFill/>
              </a:ln>
              <a:solidFill>
                <a:schemeClr val="bg1"/>
              </a:solidFill>
              <a:latin typeface="Aptos Narrow"/>
              <a:ea typeface="+mn-ea"/>
              <a:cs typeface="Segoe UI"/>
            </a:rPr>
            <a:pPr marL="0" indent="0" algn="ctr"/>
            <a:t>17.00</a:t>
          </a:fld>
          <a:endParaRPr lang="en-US" sz="1200" b="1" i="0" u="none" strike="noStrike">
            <a:ln>
              <a:noFill/>
            </a:ln>
            <a:solidFill>
              <a:schemeClr val="bg1"/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6</xdr:col>
      <xdr:colOff>146538</xdr:colOff>
      <xdr:row>4</xdr:row>
      <xdr:rowOff>60081</xdr:rowOff>
    </xdr:from>
    <xdr:to>
      <xdr:col>9</xdr:col>
      <xdr:colOff>24424</xdr:colOff>
      <xdr:row>6</xdr:row>
      <xdr:rowOff>96713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9A203ED4-95FB-5D9F-8B58-8A9132DF0D2E}"/>
            </a:ext>
          </a:extLst>
        </xdr:cNvPr>
        <xdr:cNvSpPr txBox="1"/>
      </xdr:nvSpPr>
      <xdr:spPr>
        <a:xfrm>
          <a:off x="3810000" y="841619"/>
          <a:ext cx="1709616" cy="42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GOODLIVIN LTD </a:t>
          </a:r>
          <a:endParaRPr lang="en-US" sz="1050">
            <a:solidFill>
              <a:schemeClr val="bg1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E969-AE55-4606-8B3A-0AD9EE41D747}">
  <dimension ref="A2:S26"/>
  <sheetViews>
    <sheetView topLeftCell="B1" workbookViewId="0">
      <selection activeCell="O2" sqref="O2"/>
    </sheetView>
  </sheetViews>
  <sheetFormatPr defaultRowHeight="14.4" x14ac:dyDescent="0.3"/>
  <cols>
    <col min="2" max="2" width="13" customWidth="1"/>
    <col min="6" max="6" width="12.33203125" customWidth="1"/>
    <col min="10" max="10" width="12.44140625" customWidth="1"/>
    <col min="18" max="18" width="16" bestFit="1" customWidth="1"/>
    <col min="19" max="19" width="18.6640625" bestFit="1" customWidth="1"/>
  </cols>
  <sheetData>
    <row r="2" spans="1:19" ht="21" x14ac:dyDescent="0.4">
      <c r="Q2" s="45" t="str">
        <f>'KPI Dashboard'!X8</f>
        <v>Jan</v>
      </c>
    </row>
    <row r="4" spans="1:19" s="32" customFormat="1" ht="18.600000000000001" thickBot="1" x14ac:dyDescent="0.35">
      <c r="A4" s="49"/>
      <c r="B4" s="49"/>
      <c r="C4" s="49"/>
      <c r="D4" s="49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1" t="s">
        <v>0</v>
      </c>
      <c r="R4" s="38" t="s">
        <v>34</v>
      </c>
      <c r="S4" s="39" t="s">
        <v>35</v>
      </c>
    </row>
    <row r="5" spans="1:19" ht="15.6" thickBot="1" x14ac:dyDescent="0.35">
      <c r="A5" s="2" t="s">
        <v>1</v>
      </c>
      <c r="B5" s="50" t="s">
        <v>2</v>
      </c>
      <c r="C5" s="50"/>
      <c r="D5" s="50"/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3" t="s">
        <v>14</v>
      </c>
      <c r="Q5" s="4" t="s">
        <v>15</v>
      </c>
    </row>
    <row r="6" spans="1:19" ht="15" x14ac:dyDescent="0.3">
      <c r="A6" s="5">
        <v>1</v>
      </c>
      <c r="B6" s="51" t="s">
        <v>16</v>
      </c>
      <c r="C6" s="51"/>
      <c r="D6" s="51"/>
      <c r="E6" s="6">
        <v>0.08</v>
      </c>
      <c r="F6" s="6">
        <v>0.09</v>
      </c>
      <c r="G6" s="6">
        <v>0.11</v>
      </c>
      <c r="H6" s="6">
        <v>7.5499999999999998E-2</v>
      </c>
      <c r="I6" s="6">
        <v>4.9799999999999997E-2</v>
      </c>
      <c r="J6" s="6">
        <v>0.12</v>
      </c>
      <c r="K6" s="6">
        <v>0.13</v>
      </c>
      <c r="L6" s="6">
        <v>4.99E-2</v>
      </c>
      <c r="M6" s="6">
        <v>7.0000000000000007E-2</v>
      </c>
      <c r="N6" s="6">
        <v>8.5500000000000007E-2</v>
      </c>
      <c r="O6" s="6">
        <v>0.12</v>
      </c>
      <c r="P6" s="7">
        <v>0.17</v>
      </c>
      <c r="Q6" s="8">
        <f>IF($E$5=$Q$2,E6,IF($F$5=$Q$2,F6,IF($G$5=$Q$2,G6,IF($H$5=$Q$2,H6,IF($I$5=$Q$2,I6,IF($J$5=$Q$2,J6,IF($K$5=$Q$2,K6,IF($L$5=$Q$2,L6,IF($M$5=$Q$2,M6,IF($N$5=$Q$2,N6,IF($O$5=$Q$2,O6,P6)))))))))))</f>
        <v>0.08</v>
      </c>
      <c r="R6" s="34">
        <f>IF($E$5=$Q$2,U20,IF($F$5=$Q$2,E6,IF($G$5=$Q$2,F6,IF($H$5=$Q$2,G6,IF($I$5=$Q$2,H6,IF($J$5=$Q$2,I6,IF($K$5=$Q$2,J6,IF($L$5=$Q$2,K6,IF($M$5=$Q$2,L6,IF($N$5=$Q$2,M6,IF($O$5=$Q$2,N6,O6)))))))))))</f>
        <v>0</v>
      </c>
      <c r="S6" s="35" t="e">
        <f>(Q6/R6)-100%</f>
        <v>#DIV/0!</v>
      </c>
    </row>
    <row r="7" spans="1:19" ht="15" x14ac:dyDescent="0.3">
      <c r="A7" s="9">
        <v>2</v>
      </c>
      <c r="B7" s="52" t="s">
        <v>17</v>
      </c>
      <c r="C7" s="53"/>
      <c r="D7" s="54"/>
      <c r="E7" s="10">
        <v>1530</v>
      </c>
      <c r="F7" s="10">
        <v>1413</v>
      </c>
      <c r="G7" s="10">
        <v>1052</v>
      </c>
      <c r="H7" s="10">
        <v>1405</v>
      </c>
      <c r="I7" s="10">
        <v>1207</v>
      </c>
      <c r="J7" s="10">
        <v>1180</v>
      </c>
      <c r="K7" s="10">
        <v>1349</v>
      </c>
      <c r="L7" s="10">
        <v>1288</v>
      </c>
      <c r="M7" s="10">
        <v>1545</v>
      </c>
      <c r="N7" s="10">
        <v>1336</v>
      </c>
      <c r="O7" s="11">
        <v>1000</v>
      </c>
      <c r="P7" s="12">
        <v>1400</v>
      </c>
      <c r="Q7" s="33">
        <f t="shared" ref="Q7:Q20" si="0">IF($E$5=$Q$2,E7,IF($F$5=$Q$2,F7,IF($G$5=$Q$2,G7,IF($H$5=$Q$2,H7,IF($I$5=$Q$2,I7,IF($J$5=$Q$2,J7,IF($K$5=$Q$2,K7,IF($L$5=$Q$2,L7,IF($M$5=$Q$2,M7,IF($N$5=$Q$2,N7,IF($O$5=$Q$2,O7,P7)))))))))))</f>
        <v>1530</v>
      </c>
      <c r="R7">
        <f t="shared" ref="R7:R21" si="1">IF($E$5=$Q$2,U21,IF($F$5=$Q$2,E7,IF($G$5=$Q$2,F7,IF($H$5=$Q$2,G7,IF($I$5=$Q$2,H7,IF($J$5=$Q$2,I7,IF($K$5=$Q$2,J7,IF($L$5=$Q$2,K7,IF($M$5=$Q$2,L7,IF($N$5=$Q$2,M7,IF($O$5=$Q$2,N7,O7)))))))))))</f>
        <v>0</v>
      </c>
      <c r="S7" s="35" t="e">
        <f t="shared" ref="S7:S21" si="2">(Q7/R7)-100%</f>
        <v>#DIV/0!</v>
      </c>
    </row>
    <row r="8" spans="1:19" ht="15" x14ac:dyDescent="0.3">
      <c r="A8" s="9">
        <v>3</v>
      </c>
      <c r="B8" s="51" t="s">
        <v>18</v>
      </c>
      <c r="C8" s="51"/>
      <c r="D8" s="51"/>
      <c r="E8" s="13">
        <v>0.56000000000000005</v>
      </c>
      <c r="F8" s="13">
        <v>0.57999999999999996</v>
      </c>
      <c r="G8" s="13">
        <v>0.41</v>
      </c>
      <c r="H8" s="13">
        <v>0.84</v>
      </c>
      <c r="I8" s="13">
        <v>0.74</v>
      </c>
      <c r="J8" s="13">
        <v>0.77</v>
      </c>
      <c r="K8" s="13">
        <v>0.71</v>
      </c>
      <c r="L8" s="13">
        <v>0.79</v>
      </c>
      <c r="M8" s="13">
        <v>0.31</v>
      </c>
      <c r="N8" s="13">
        <v>0.43</v>
      </c>
      <c r="O8" s="13">
        <v>0.68</v>
      </c>
      <c r="P8" s="14">
        <v>0.38</v>
      </c>
      <c r="Q8" s="8">
        <f t="shared" si="0"/>
        <v>0.56000000000000005</v>
      </c>
      <c r="R8" s="34">
        <f t="shared" si="1"/>
        <v>0</v>
      </c>
      <c r="S8" s="35" t="e">
        <f t="shared" si="2"/>
        <v>#DIV/0!</v>
      </c>
    </row>
    <row r="9" spans="1:19" ht="15" x14ac:dyDescent="0.3">
      <c r="A9" s="5">
        <v>4</v>
      </c>
      <c r="B9" s="51" t="s">
        <v>19</v>
      </c>
      <c r="C9" s="51"/>
      <c r="D9" s="51"/>
      <c r="E9" s="13">
        <v>0.76</v>
      </c>
      <c r="F9" s="13">
        <v>0.7</v>
      </c>
      <c r="G9" s="13">
        <v>0.64</v>
      </c>
      <c r="H9" s="13">
        <v>0.68</v>
      </c>
      <c r="I9" s="13">
        <v>0.69</v>
      </c>
      <c r="J9" s="13">
        <v>0.74</v>
      </c>
      <c r="K9" s="13">
        <v>0.85</v>
      </c>
      <c r="L9" s="13">
        <v>0.8</v>
      </c>
      <c r="M9" s="13">
        <v>0.84</v>
      </c>
      <c r="N9" s="13">
        <v>0.74</v>
      </c>
      <c r="O9" s="13">
        <v>0.65</v>
      </c>
      <c r="P9" s="14">
        <v>0.8</v>
      </c>
      <c r="Q9" s="8">
        <f t="shared" si="0"/>
        <v>0.76</v>
      </c>
      <c r="R9" s="34">
        <f t="shared" si="1"/>
        <v>0</v>
      </c>
      <c r="S9" s="35" t="e">
        <f t="shared" si="2"/>
        <v>#DIV/0!</v>
      </c>
    </row>
    <row r="10" spans="1:19" ht="15" x14ac:dyDescent="0.3">
      <c r="A10" s="9">
        <v>5</v>
      </c>
      <c r="B10" s="51" t="s">
        <v>20</v>
      </c>
      <c r="C10" s="51"/>
      <c r="D10" s="51"/>
      <c r="E10" s="13">
        <v>0.78</v>
      </c>
      <c r="F10" s="13">
        <v>0.74</v>
      </c>
      <c r="G10" s="13">
        <v>0.8</v>
      </c>
      <c r="H10" s="13">
        <v>0.93</v>
      </c>
      <c r="I10" s="13">
        <v>0.85</v>
      </c>
      <c r="J10" s="13">
        <v>0.94</v>
      </c>
      <c r="K10" s="13">
        <v>0.9</v>
      </c>
      <c r="L10" s="13">
        <v>0.71</v>
      </c>
      <c r="M10" s="13">
        <v>0.92</v>
      </c>
      <c r="N10" s="13">
        <v>0.87</v>
      </c>
      <c r="O10" s="13">
        <v>0.73</v>
      </c>
      <c r="P10" s="14">
        <v>0.9</v>
      </c>
      <c r="Q10" s="8">
        <f t="shared" si="0"/>
        <v>0.78</v>
      </c>
      <c r="R10" s="34">
        <f t="shared" si="1"/>
        <v>0</v>
      </c>
      <c r="S10" s="35" t="e">
        <f t="shared" si="2"/>
        <v>#DIV/0!</v>
      </c>
    </row>
    <row r="11" spans="1:19" ht="15" x14ac:dyDescent="0.3">
      <c r="A11" s="9">
        <v>6</v>
      </c>
      <c r="B11" s="51" t="s">
        <v>21</v>
      </c>
      <c r="C11" s="51"/>
      <c r="D11" s="51"/>
      <c r="E11" s="6">
        <v>0.45</v>
      </c>
      <c r="F11" s="6">
        <v>0.87</v>
      </c>
      <c r="G11" s="6">
        <v>0.64</v>
      </c>
      <c r="H11" s="6">
        <v>0.25</v>
      </c>
      <c r="I11" s="6">
        <v>0.33</v>
      </c>
      <c r="J11" s="6">
        <v>0.49</v>
      </c>
      <c r="K11" s="6">
        <v>0.68</v>
      </c>
      <c r="L11" s="6">
        <v>0.38</v>
      </c>
      <c r="M11" s="6">
        <v>0.42</v>
      </c>
      <c r="N11" s="6">
        <v>0.52</v>
      </c>
      <c r="O11" s="6">
        <v>0.61</v>
      </c>
      <c r="P11" s="7">
        <v>0.72</v>
      </c>
      <c r="Q11" s="8">
        <f t="shared" si="0"/>
        <v>0.45</v>
      </c>
      <c r="R11" s="34">
        <f t="shared" si="1"/>
        <v>0</v>
      </c>
      <c r="S11" s="35" t="e">
        <f t="shared" si="2"/>
        <v>#DIV/0!</v>
      </c>
    </row>
    <row r="12" spans="1:19" ht="15" x14ac:dyDescent="0.3">
      <c r="A12" s="5">
        <v>7</v>
      </c>
      <c r="B12" s="51" t="s">
        <v>22</v>
      </c>
      <c r="C12" s="51"/>
      <c r="D12" s="51"/>
      <c r="E12" s="13">
        <v>5.0583657587548639E-2</v>
      </c>
      <c r="F12" s="13">
        <v>7.0000000000000007E-2</v>
      </c>
      <c r="G12" s="13">
        <v>0.08</v>
      </c>
      <c r="H12" s="13">
        <v>4.687122493355883E-2</v>
      </c>
      <c r="I12" s="13">
        <v>0.11934349355216882</v>
      </c>
      <c r="J12" s="13">
        <v>8.4789796882380725E-2</v>
      </c>
      <c r="K12" s="13">
        <v>0.09</v>
      </c>
      <c r="L12" s="13">
        <v>0.13053712818317997</v>
      </c>
      <c r="M12" s="13">
        <v>0.10812553740326741</v>
      </c>
      <c r="N12" s="13">
        <v>7.5921375921375919E-2</v>
      </c>
      <c r="O12" s="13">
        <v>0.11</v>
      </c>
      <c r="P12" s="14">
        <v>0.13</v>
      </c>
      <c r="Q12" s="8">
        <f t="shared" si="0"/>
        <v>5.0583657587548639E-2</v>
      </c>
      <c r="R12" s="34">
        <f t="shared" si="1"/>
        <v>0</v>
      </c>
      <c r="S12" s="35" t="e">
        <f t="shared" si="2"/>
        <v>#DIV/0!</v>
      </c>
    </row>
    <row r="13" spans="1:19" ht="15" x14ac:dyDescent="0.3">
      <c r="A13" s="9">
        <v>8</v>
      </c>
      <c r="B13" s="51" t="s">
        <v>23</v>
      </c>
      <c r="C13" s="51"/>
      <c r="D13" s="51"/>
      <c r="E13" s="15">
        <v>10</v>
      </c>
      <c r="F13" s="15">
        <v>14</v>
      </c>
      <c r="G13" s="15">
        <v>6</v>
      </c>
      <c r="H13" s="15">
        <v>3</v>
      </c>
      <c r="I13" s="15">
        <v>6</v>
      </c>
      <c r="J13" s="15">
        <v>7</v>
      </c>
      <c r="K13" s="15">
        <v>8</v>
      </c>
      <c r="L13" s="15">
        <v>9</v>
      </c>
      <c r="M13" s="15">
        <v>10</v>
      </c>
      <c r="N13" s="15">
        <v>8</v>
      </c>
      <c r="O13" s="15">
        <v>10</v>
      </c>
      <c r="P13" s="16">
        <v>8</v>
      </c>
      <c r="Q13" s="33">
        <f t="shared" si="0"/>
        <v>10</v>
      </c>
      <c r="R13">
        <f t="shared" si="1"/>
        <v>0</v>
      </c>
      <c r="S13" s="35" t="e">
        <f t="shared" si="2"/>
        <v>#DIV/0!</v>
      </c>
    </row>
    <row r="14" spans="1:19" ht="15" x14ac:dyDescent="0.3">
      <c r="A14" s="9">
        <v>9</v>
      </c>
      <c r="B14" s="52" t="s">
        <v>24</v>
      </c>
      <c r="C14" s="53"/>
      <c r="D14" s="54"/>
      <c r="E14" s="6">
        <v>0.42109999999999997</v>
      </c>
      <c r="F14" s="6">
        <v>0.23669999999999999</v>
      </c>
      <c r="G14" s="6">
        <v>0.55759999999999998</v>
      </c>
      <c r="H14" s="6">
        <v>0.61119999999999997</v>
      </c>
      <c r="I14" s="6">
        <v>0.78769999999999996</v>
      </c>
      <c r="J14" s="6">
        <v>0.38719999999999999</v>
      </c>
      <c r="K14" s="6">
        <v>0.46379999999999999</v>
      </c>
      <c r="L14" s="6">
        <v>0.44</v>
      </c>
      <c r="M14" s="6">
        <v>0.52</v>
      </c>
      <c r="N14" s="6">
        <v>0.46</v>
      </c>
      <c r="O14" s="6">
        <v>0.71</v>
      </c>
      <c r="P14" s="7">
        <v>0.53</v>
      </c>
      <c r="Q14" s="8">
        <f t="shared" si="0"/>
        <v>0.42109999999999997</v>
      </c>
      <c r="R14" s="34">
        <f t="shared" si="1"/>
        <v>0</v>
      </c>
      <c r="S14" s="35" t="e">
        <f t="shared" si="2"/>
        <v>#DIV/0!</v>
      </c>
    </row>
    <row r="15" spans="1:19" ht="15.6" thickBot="1" x14ac:dyDescent="0.35">
      <c r="A15" s="17">
        <v>10</v>
      </c>
      <c r="B15" s="46" t="s">
        <v>25</v>
      </c>
      <c r="C15" s="47"/>
      <c r="D15" s="48"/>
      <c r="E15" s="18">
        <v>0.15</v>
      </c>
      <c r="F15" s="18">
        <v>0.12</v>
      </c>
      <c r="G15" s="18">
        <v>0.08</v>
      </c>
      <c r="H15" s="18">
        <v>0.09</v>
      </c>
      <c r="I15" s="18">
        <v>0.1</v>
      </c>
      <c r="J15" s="18">
        <v>0.05</v>
      </c>
      <c r="K15" s="18">
        <v>0.11</v>
      </c>
      <c r="L15" s="18">
        <v>0.08</v>
      </c>
      <c r="M15" s="18">
        <v>0.09</v>
      </c>
      <c r="N15" s="18">
        <v>0.12</v>
      </c>
      <c r="O15" s="18">
        <v>0.18</v>
      </c>
      <c r="P15" s="19">
        <v>0.25</v>
      </c>
      <c r="Q15" s="8">
        <f t="shared" si="0"/>
        <v>0.15</v>
      </c>
      <c r="R15" s="34">
        <f t="shared" si="1"/>
        <v>0</v>
      </c>
      <c r="S15" s="35" t="e">
        <f t="shared" si="2"/>
        <v>#DIV/0!</v>
      </c>
    </row>
    <row r="16" spans="1:19" ht="15" x14ac:dyDescent="0.3">
      <c r="A16" s="55" t="s">
        <v>26</v>
      </c>
      <c r="B16" s="57" t="s">
        <v>27</v>
      </c>
      <c r="C16" s="57"/>
      <c r="D16" s="58"/>
      <c r="E16" s="20">
        <v>0.18</v>
      </c>
      <c r="F16" s="20">
        <v>0.15</v>
      </c>
      <c r="G16" s="20">
        <v>0.08</v>
      </c>
      <c r="H16" s="20">
        <v>0.09</v>
      </c>
      <c r="I16" s="20">
        <v>0.12</v>
      </c>
      <c r="J16" s="20">
        <v>0.05</v>
      </c>
      <c r="K16" s="20">
        <v>0.1</v>
      </c>
      <c r="L16" s="20">
        <v>0.16</v>
      </c>
      <c r="M16" s="20">
        <v>0.12</v>
      </c>
      <c r="N16" s="20">
        <v>0.09</v>
      </c>
      <c r="O16" s="20">
        <v>0.15</v>
      </c>
      <c r="P16" s="21">
        <v>0.11</v>
      </c>
      <c r="Q16" s="8">
        <f t="shared" si="0"/>
        <v>0.18</v>
      </c>
      <c r="R16" s="34">
        <f t="shared" si="1"/>
        <v>0</v>
      </c>
      <c r="S16" s="35" t="e">
        <f t="shared" si="2"/>
        <v>#DIV/0!</v>
      </c>
    </row>
    <row r="17" spans="1:19" ht="15" x14ac:dyDescent="0.3">
      <c r="A17" s="55"/>
      <c r="B17" s="59" t="s">
        <v>28</v>
      </c>
      <c r="C17" s="59"/>
      <c r="D17" s="60"/>
      <c r="E17" s="22">
        <v>0.85</v>
      </c>
      <c r="F17" s="22">
        <v>0.79669999999999996</v>
      </c>
      <c r="G17" s="22">
        <v>0.45760000000000001</v>
      </c>
      <c r="H17" s="22">
        <v>0.48</v>
      </c>
      <c r="I17" s="22">
        <v>0.72929999999999995</v>
      </c>
      <c r="J17" s="22">
        <v>0.68330000000000002</v>
      </c>
      <c r="K17" s="22">
        <v>0.5998</v>
      </c>
      <c r="L17" s="22">
        <v>0.61129999999999995</v>
      </c>
      <c r="M17" s="22">
        <v>0.67800000000000005</v>
      </c>
      <c r="N17" s="22">
        <v>0.76700000000000002</v>
      </c>
      <c r="O17" s="22">
        <v>0.871</v>
      </c>
      <c r="P17" s="23">
        <v>0.92330000000000001</v>
      </c>
      <c r="Q17" s="8">
        <f t="shared" si="0"/>
        <v>0.85</v>
      </c>
      <c r="R17" s="34">
        <f t="shared" si="1"/>
        <v>0</v>
      </c>
      <c r="S17" s="35" t="e">
        <f t="shared" si="2"/>
        <v>#DIV/0!</v>
      </c>
    </row>
    <row r="18" spans="1:19" ht="15.6" thickBot="1" x14ac:dyDescent="0.35">
      <c r="A18" s="56"/>
      <c r="B18" s="61" t="s">
        <v>29</v>
      </c>
      <c r="C18" s="61"/>
      <c r="D18" s="62"/>
      <c r="E18" s="24">
        <v>0.5</v>
      </c>
      <c r="F18" s="24">
        <v>0.42</v>
      </c>
      <c r="G18" s="24">
        <v>0.38</v>
      </c>
      <c r="H18" s="24">
        <v>0.67</v>
      </c>
      <c r="I18" s="24">
        <v>0.37</v>
      </c>
      <c r="J18" s="24">
        <v>0.56999999999999995</v>
      </c>
      <c r="K18" s="24">
        <v>0.92</v>
      </c>
      <c r="L18" s="24">
        <v>0.9</v>
      </c>
      <c r="M18" s="24">
        <v>0.71</v>
      </c>
      <c r="N18" s="24">
        <v>0.31</v>
      </c>
      <c r="O18" s="24">
        <v>0.68</v>
      </c>
      <c r="P18" s="25">
        <v>0.81</v>
      </c>
      <c r="Q18" s="8">
        <f t="shared" si="0"/>
        <v>0.5</v>
      </c>
      <c r="R18" s="34">
        <f t="shared" si="1"/>
        <v>0</v>
      </c>
      <c r="S18" s="35" t="e">
        <f t="shared" si="2"/>
        <v>#DIV/0!</v>
      </c>
    </row>
    <row r="19" spans="1:19" ht="15" x14ac:dyDescent="0.3">
      <c r="A19" s="63" t="s">
        <v>30</v>
      </c>
      <c r="B19" s="65" t="s">
        <v>31</v>
      </c>
      <c r="C19" s="66"/>
      <c r="D19" s="67"/>
      <c r="E19" s="26">
        <v>16</v>
      </c>
      <c r="F19" s="26">
        <v>20</v>
      </c>
      <c r="G19" s="26">
        <v>18</v>
      </c>
      <c r="H19" s="26">
        <v>18</v>
      </c>
      <c r="I19" s="26">
        <v>16</v>
      </c>
      <c r="J19" s="26">
        <v>16</v>
      </c>
      <c r="K19" s="26">
        <v>15</v>
      </c>
      <c r="L19" s="26">
        <v>20</v>
      </c>
      <c r="M19" s="26">
        <v>17</v>
      </c>
      <c r="N19" s="26">
        <v>16</v>
      </c>
      <c r="O19" s="26">
        <v>18</v>
      </c>
      <c r="P19" s="27">
        <v>18</v>
      </c>
      <c r="Q19" s="33">
        <f t="shared" si="0"/>
        <v>16</v>
      </c>
      <c r="R19">
        <f t="shared" si="1"/>
        <v>0</v>
      </c>
      <c r="S19" s="35" t="e">
        <f t="shared" si="2"/>
        <v>#DIV/0!</v>
      </c>
    </row>
    <row r="20" spans="1:19" ht="15" x14ac:dyDescent="0.3">
      <c r="A20" s="63"/>
      <c r="B20" s="68" t="s">
        <v>32</v>
      </c>
      <c r="C20" s="69"/>
      <c r="D20" s="70"/>
      <c r="E20" s="28">
        <v>17</v>
      </c>
      <c r="F20" s="28">
        <v>20</v>
      </c>
      <c r="G20" s="28">
        <v>15</v>
      </c>
      <c r="H20" s="28">
        <v>18</v>
      </c>
      <c r="I20" s="28">
        <v>16</v>
      </c>
      <c r="J20" s="28">
        <v>16</v>
      </c>
      <c r="K20" s="28">
        <v>20</v>
      </c>
      <c r="L20" s="28">
        <v>15</v>
      </c>
      <c r="M20" s="28">
        <v>20</v>
      </c>
      <c r="N20" s="28">
        <v>20</v>
      </c>
      <c r="O20" s="28">
        <v>18</v>
      </c>
      <c r="P20" s="29">
        <v>17</v>
      </c>
      <c r="Q20" s="33">
        <f t="shared" si="0"/>
        <v>17</v>
      </c>
      <c r="R20">
        <f t="shared" si="1"/>
        <v>0</v>
      </c>
      <c r="S20" s="35" t="e">
        <f t="shared" si="2"/>
        <v>#DIV/0!</v>
      </c>
    </row>
    <row r="21" spans="1:19" ht="15" x14ac:dyDescent="0.3">
      <c r="A21" s="64"/>
      <c r="B21" s="68" t="s">
        <v>33</v>
      </c>
      <c r="C21" s="69"/>
      <c r="D21" s="70"/>
      <c r="E21" s="28">
        <f>SUM(E19:E20)</f>
        <v>33</v>
      </c>
      <c r="F21" s="28">
        <f t="shared" ref="F21:P21" si="3">SUM(F19:F20)</f>
        <v>40</v>
      </c>
      <c r="G21" s="28">
        <f t="shared" si="3"/>
        <v>33</v>
      </c>
      <c r="H21" s="28">
        <f t="shared" si="3"/>
        <v>36</v>
      </c>
      <c r="I21" s="28">
        <f t="shared" si="3"/>
        <v>32</v>
      </c>
      <c r="J21" s="28">
        <f t="shared" si="3"/>
        <v>32</v>
      </c>
      <c r="K21" s="28">
        <f t="shared" si="3"/>
        <v>35</v>
      </c>
      <c r="L21" s="28">
        <f t="shared" si="3"/>
        <v>35</v>
      </c>
      <c r="M21" s="28">
        <f t="shared" si="3"/>
        <v>37</v>
      </c>
      <c r="N21" s="28">
        <f t="shared" si="3"/>
        <v>36</v>
      </c>
      <c r="O21" s="28">
        <f t="shared" si="3"/>
        <v>36</v>
      </c>
      <c r="P21" s="29">
        <f t="shared" si="3"/>
        <v>35</v>
      </c>
      <c r="Q21" s="33">
        <f>IF($E$5=$Q$2,E21,IF($F$5=$Q$2,F21,IF($G$5=$Q$2,G21,IF($H$5=$Q$2,H21,IF($I$5=$Q$2,I21,IF($J$5=$Q$2,J21,IF($K$5=$Q$2,K21,IF($L$5=$Q$2,L21,IF($M$5=$Q$2,M21,IF($N$5=$Q$2,N21,IF($O$5=$Q$2,O21,P21)))))))))))</f>
        <v>33</v>
      </c>
      <c r="R21">
        <f t="shared" si="1"/>
        <v>0</v>
      </c>
      <c r="S21" s="35" t="e">
        <f t="shared" si="2"/>
        <v>#DIV/0!</v>
      </c>
    </row>
    <row r="24" spans="1:19" ht="18" x14ac:dyDescent="0.35">
      <c r="B24" s="40" t="s">
        <v>27</v>
      </c>
      <c r="C24" s="41"/>
      <c r="D24" s="41"/>
      <c r="F24" s="40" t="s">
        <v>28</v>
      </c>
      <c r="G24" s="41"/>
      <c r="H24" s="41"/>
      <c r="J24" s="40" t="s">
        <v>29</v>
      </c>
      <c r="K24" s="41"/>
      <c r="L24" s="41"/>
    </row>
    <row r="25" spans="1:19" x14ac:dyDescent="0.3">
      <c r="B25" s="42" t="s">
        <v>36</v>
      </c>
      <c r="C25" s="43">
        <f>Q16</f>
        <v>0.18</v>
      </c>
      <c r="F25" s="42" t="s">
        <v>36</v>
      </c>
      <c r="G25" s="43">
        <f>Q17</f>
        <v>0.85</v>
      </c>
      <c r="J25" s="42" t="s">
        <v>36</v>
      </c>
      <c r="K25" s="43">
        <f>Q18</f>
        <v>0.5</v>
      </c>
    </row>
    <row r="26" spans="1:19" x14ac:dyDescent="0.3">
      <c r="B26" s="42" t="s">
        <v>37</v>
      </c>
      <c r="C26" s="44">
        <f>100%-C25</f>
        <v>0.82000000000000006</v>
      </c>
      <c r="F26" s="42" t="s">
        <v>37</v>
      </c>
      <c r="G26" s="43">
        <f>100%-G25</f>
        <v>0.15000000000000002</v>
      </c>
      <c r="J26" s="42" t="s">
        <v>37</v>
      </c>
      <c r="K26" s="44">
        <f>100%-K25</f>
        <v>0.5</v>
      </c>
    </row>
  </sheetData>
  <mergeCells count="20">
    <mergeCell ref="A16:A18"/>
    <mergeCell ref="B16:D16"/>
    <mergeCell ref="B17:D17"/>
    <mergeCell ref="B18:D18"/>
    <mergeCell ref="A19:A21"/>
    <mergeCell ref="B19:D19"/>
    <mergeCell ref="B20:D20"/>
    <mergeCell ref="B21:D21"/>
    <mergeCell ref="B15:D15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B27D-9223-405B-B044-50385A3843F0}">
  <dimension ref="R4:X8"/>
  <sheetViews>
    <sheetView showGridLines="0" tabSelected="1" topLeftCell="A3" zoomScale="78" zoomScaleNormal="78" workbookViewId="0">
      <selection activeCell="X29" sqref="X29"/>
    </sheetView>
  </sheetViews>
  <sheetFormatPr defaultColWidth="9.109375" defaultRowHeight="14.4" x14ac:dyDescent="0.3"/>
  <cols>
    <col min="1" max="16384" width="9.109375" style="30"/>
  </cols>
  <sheetData>
    <row r="4" spans="18:24" x14ac:dyDescent="0.3">
      <c r="R4" s="37"/>
    </row>
    <row r="8" spans="18:24" ht="23.4" x14ac:dyDescent="0.45">
      <c r="X8" s="36" t="s">
        <v>3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9607C1-7553-4371-9347-FA5059767CED}">
          <x14:formula1>
            <xm:f>Calculations!$E$5:$P$5</xm:f>
          </x14:formula1>
          <xm:sqref>X8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oluchianene2@gmail.com</dc:creator>
  <cp:lastModifiedBy>Priscilla Ebi</cp:lastModifiedBy>
  <dcterms:created xsi:type="dcterms:W3CDTF">2024-04-15T13:01:49Z</dcterms:created>
  <dcterms:modified xsi:type="dcterms:W3CDTF">2024-05-25T13:58:12Z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2024-05-25T13:58:12Z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34252b76-0a7b-4cde-8917-41b0d35ba9d7</vt:lpwstr>
  </property>
  <property fmtid="{D5CDD505-2E9C-101B-9397-08002B2CF9AE}" pid="7" name="MSIP_Label_defa4170-0d19-0005-0004-bc88714345d2_ActionId">
    <vt:lpwstr>af964142-fb27-4200-b311-576683a3ce0f</vt:lpwstr>
  </property>
  <property fmtid="{D5CDD505-2E9C-101B-9397-08002B2CF9AE}" pid="8" name="MSIP_Label_defa4170-0d19-0005-0004-bc88714345d2_ContentBits">
    <vt:lpwstr>0</vt:lpwstr>
  </property>
</Properties>
</file>