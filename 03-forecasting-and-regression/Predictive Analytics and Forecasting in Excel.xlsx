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EXPLOSIVE PRISCIIIII\Downloads\"/>
    </mc:Choice>
  </mc:AlternateContent>
  <xr:revisionPtr revIDLastSave="0" documentId="13_ncr:1_{EB88BBAE-8D53-4C6A-BDDE-F9EDB516B6C9}" xr6:coauthVersionLast="47" xr6:coauthVersionMax="47" xr10:uidLastSave="{00000000-0000-0000-0000-000000000000}"/>
  <bookViews>
    <workbookView xWindow="-108" yWindow="-108" windowWidth="23256" windowHeight="12456" firstSheet="4" activeTab="4" xr2:uid="{00000000-000D-0000-FFFF-FFFF00000000}"/>
  </bookViews>
  <sheets>
    <sheet name="Naive Approach" sheetId="1" r:id="rId1"/>
    <sheet name="Sheet1" sheetId="7" r:id="rId2"/>
    <sheet name="Moving Average" sheetId="2" r:id="rId3"/>
    <sheet name="Exponential Smoothing" sheetId="3" r:id="rId4"/>
    <sheet name="Simple Linear Regression" sheetId="4" r:id="rId5"/>
    <sheet name="SLR SHEET" sheetId="8" r:id="rId6"/>
    <sheet name="Sheet3" sheetId="9" r:id="rId7"/>
    <sheet name="Forecast Sheet" sheetId="5" r:id="rId8"/>
    <sheet name="Forecst.Linear Function" sheetId="6"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vNt4b73DCyqf2GzUsz9C94xunDhW0oChpChG5zwgu98="/>
    </ext>
  </extLst>
</workbook>
</file>

<file path=xl/calcChain.xml><?xml version="1.0" encoding="utf-8"?>
<calcChain xmlns="http://schemas.openxmlformats.org/spreadsheetml/2006/main">
  <c r="P5" i="4" l="1"/>
  <c r="T14" i="4"/>
  <c r="T11" i="4"/>
  <c r="T10" i="4"/>
  <c r="T9" i="4"/>
  <c r="K6" i="4"/>
  <c r="K7" i="4"/>
  <c r="K8" i="4"/>
  <c r="K9" i="4"/>
  <c r="K10" i="4"/>
  <c r="K11" i="4"/>
  <c r="K12" i="4"/>
  <c r="K13" i="4"/>
  <c r="K14" i="4"/>
  <c r="K15" i="4"/>
  <c r="K16" i="4"/>
  <c r="K5" i="4"/>
  <c r="J6" i="4"/>
  <c r="J7" i="4"/>
  <c r="J8" i="4"/>
  <c r="J9" i="4"/>
  <c r="J10" i="4"/>
  <c r="J11" i="4"/>
  <c r="J12" i="4"/>
  <c r="J13" i="4"/>
  <c r="J14" i="4"/>
  <c r="J15" i="4"/>
  <c r="J16" i="4"/>
  <c r="J5" i="4"/>
  <c r="I6" i="4"/>
  <c r="I7" i="4"/>
  <c r="I8" i="4"/>
  <c r="I9" i="4"/>
  <c r="I10" i="4"/>
  <c r="I11" i="4"/>
  <c r="I12" i="4"/>
  <c r="I13" i="4"/>
  <c r="I14" i="4"/>
  <c r="I15" i="4"/>
  <c r="I16" i="4"/>
  <c r="I5" i="4"/>
  <c r="H6" i="4"/>
  <c r="H7" i="4"/>
  <c r="H8" i="4"/>
  <c r="H9" i="4"/>
  <c r="H10" i="4"/>
  <c r="H11" i="4"/>
  <c r="H12" i="4"/>
  <c r="H13" i="4"/>
  <c r="H14" i="4"/>
  <c r="H15" i="4"/>
  <c r="H16" i="4"/>
  <c r="H5" i="4"/>
  <c r="F6" i="4"/>
  <c r="G6" i="4" s="1"/>
  <c r="F7" i="4"/>
  <c r="G7" i="4" s="1"/>
  <c r="F8" i="4"/>
  <c r="G8" i="4" s="1"/>
  <c r="F9" i="4"/>
  <c r="G9" i="4" s="1"/>
  <c r="F10" i="4"/>
  <c r="G10" i="4" s="1"/>
  <c r="F11" i="4"/>
  <c r="G11" i="4" s="1"/>
  <c r="F12" i="4"/>
  <c r="G12" i="4" s="1"/>
  <c r="F13" i="4"/>
  <c r="G13" i="4" s="1"/>
  <c r="F14" i="4"/>
  <c r="G14" i="4" s="1"/>
  <c r="F15" i="4"/>
  <c r="G15" i="4" s="1"/>
  <c r="F16" i="4"/>
  <c r="G16" i="4" s="1"/>
  <c r="F5" i="4"/>
  <c r="G5" i="4" s="1"/>
  <c r="P6" i="4"/>
  <c r="P7" i="4"/>
  <c r="P8" i="4"/>
  <c r="P9" i="4"/>
  <c r="P10" i="4"/>
  <c r="P11" i="4"/>
  <c r="P12" i="4"/>
  <c r="P13" i="4"/>
  <c r="P14" i="4"/>
  <c r="P15" i="4"/>
  <c r="P16" i="4"/>
  <c r="O6" i="4"/>
  <c r="O7" i="4"/>
  <c r="O8" i="4"/>
  <c r="O9" i="4"/>
  <c r="O10" i="4"/>
  <c r="O11" i="4"/>
  <c r="O12" i="4"/>
  <c r="O13" i="4"/>
  <c r="O14" i="4"/>
  <c r="O15" i="4"/>
  <c r="O16" i="4"/>
  <c r="O5" i="4"/>
  <c r="N6" i="4"/>
  <c r="N7" i="4"/>
  <c r="N8" i="4"/>
  <c r="N9" i="4"/>
  <c r="N10" i="4"/>
  <c r="N11" i="4"/>
  <c r="N12" i="4"/>
  <c r="N13" i="4"/>
  <c r="N14" i="4"/>
  <c r="N15" i="4"/>
  <c r="N16" i="4"/>
  <c r="N5" i="4"/>
  <c r="H3" i="4"/>
  <c r="F3" i="4"/>
  <c r="E7" i="4" s="1"/>
  <c r="O11" i="6"/>
  <c r="O10" i="6"/>
  <c r="O9" i="6"/>
  <c r="H6" i="6"/>
  <c r="H7" i="6"/>
  <c r="H8" i="6"/>
  <c r="H9" i="6"/>
  <c r="H10" i="6"/>
  <c r="H11" i="6"/>
  <c r="H12" i="6"/>
  <c r="H13" i="6"/>
  <c r="H14" i="6"/>
  <c r="H15" i="6"/>
  <c r="H16" i="6"/>
  <c r="H5" i="6"/>
  <c r="G6" i="6"/>
  <c r="G7" i="6"/>
  <c r="G8" i="6"/>
  <c r="G9" i="6"/>
  <c r="G10" i="6"/>
  <c r="G11" i="6"/>
  <c r="G12" i="6"/>
  <c r="G13" i="6"/>
  <c r="G14" i="6"/>
  <c r="G15" i="6"/>
  <c r="G16" i="6"/>
  <c r="G5" i="6"/>
  <c r="F6" i="6"/>
  <c r="F7" i="6"/>
  <c r="F8" i="6"/>
  <c r="F9" i="6"/>
  <c r="F10" i="6"/>
  <c r="F11" i="6"/>
  <c r="F12" i="6"/>
  <c r="F13" i="6"/>
  <c r="F14" i="6"/>
  <c r="F15" i="6"/>
  <c r="F16" i="6"/>
  <c r="F5" i="6"/>
  <c r="E6" i="6"/>
  <c r="E7" i="6"/>
  <c r="E8" i="6"/>
  <c r="E9" i="6"/>
  <c r="E10" i="6"/>
  <c r="E11" i="6"/>
  <c r="E12" i="6"/>
  <c r="E13" i="6"/>
  <c r="E14" i="6"/>
  <c r="E15" i="6"/>
  <c r="E16" i="6"/>
  <c r="E5" i="6"/>
  <c r="O14" i="6"/>
  <c r="D6" i="6"/>
  <c r="D7" i="6"/>
  <c r="D8" i="6"/>
  <c r="D9" i="6"/>
  <c r="D10" i="6"/>
  <c r="D11" i="6"/>
  <c r="D12" i="6"/>
  <c r="D13" i="6"/>
  <c r="D14" i="6"/>
  <c r="D15" i="6"/>
  <c r="D16" i="6"/>
  <c r="D5" i="6"/>
  <c r="C16" i="3"/>
  <c r="C15" i="3"/>
  <c r="C14" i="3"/>
  <c r="C13" i="3"/>
  <c r="C12" i="3"/>
  <c r="C11" i="3"/>
  <c r="C10" i="3"/>
  <c r="C9" i="3"/>
  <c r="C8" i="3"/>
  <c r="C7" i="3"/>
  <c r="C6" i="3"/>
  <c r="D6" i="3" s="1"/>
  <c r="E6" i="3" s="1"/>
  <c r="F6" i="3" s="1"/>
  <c r="C14" i="9"/>
  <c r="C15" i="9"/>
  <c r="C16" i="9"/>
  <c r="E14" i="4" l="1"/>
  <c r="E10" i="4"/>
  <c r="E6" i="4"/>
  <c r="E5" i="4"/>
  <c r="E13" i="4"/>
  <c r="E9" i="4"/>
  <c r="E16" i="4"/>
  <c r="E12" i="4"/>
  <c r="E8" i="4"/>
  <c r="E15" i="4"/>
  <c r="E11" i="4"/>
  <c r="B17" i="3"/>
  <c r="D8" i="3"/>
  <c r="E8" i="3" s="1"/>
  <c r="G8" i="3" s="1"/>
  <c r="D7" i="3"/>
  <c r="E7" i="3" s="1"/>
  <c r="F7" i="3" s="1"/>
  <c r="G6" i="3"/>
  <c r="E16" i="9"/>
  <c r="E14" i="9"/>
  <c r="D16" i="9"/>
  <c r="D14" i="9"/>
  <c r="E15" i="9"/>
  <c r="D15" i="9"/>
  <c r="D16" i="3" l="1"/>
  <c r="E16" i="3" s="1"/>
  <c r="G16" i="3" s="1"/>
  <c r="F16" i="3"/>
  <c r="G7" i="3"/>
  <c r="F8" i="3"/>
  <c r="D9" i="3"/>
  <c r="E9" i="3" s="1"/>
  <c r="D10" i="3" l="1"/>
  <c r="E10" i="3" s="1"/>
  <c r="F9" i="3"/>
  <c r="G9" i="3"/>
  <c r="B17" i="2"/>
  <c r="B17" i="1"/>
  <c r="L14" i="2"/>
  <c r="L10" i="2"/>
  <c r="L9" i="2"/>
  <c r="L8" i="2"/>
  <c r="G9" i="2"/>
  <c r="G10" i="2"/>
  <c r="G11" i="2"/>
  <c r="G12" i="2"/>
  <c r="G13" i="2"/>
  <c r="G14" i="2"/>
  <c r="G15" i="2"/>
  <c r="G16" i="2"/>
  <c r="G8" i="2"/>
  <c r="F9" i="2"/>
  <c r="F10" i="2"/>
  <c r="F11" i="2"/>
  <c r="F12" i="2"/>
  <c r="F13" i="2"/>
  <c r="F14" i="2"/>
  <c r="F15" i="2"/>
  <c r="F16" i="2"/>
  <c r="F8" i="2"/>
  <c r="E9" i="2"/>
  <c r="E10" i="2"/>
  <c r="E11" i="2"/>
  <c r="E12" i="2"/>
  <c r="E13" i="2"/>
  <c r="E14" i="2"/>
  <c r="E15" i="2"/>
  <c r="E16" i="2"/>
  <c r="E8" i="2"/>
  <c r="D9" i="2"/>
  <c r="D10" i="2"/>
  <c r="D11" i="2"/>
  <c r="D12" i="2"/>
  <c r="D13" i="2"/>
  <c r="D14" i="2"/>
  <c r="D15" i="2"/>
  <c r="D16" i="2"/>
  <c r="D8" i="2"/>
  <c r="C9" i="2"/>
  <c r="C10" i="2"/>
  <c r="C11" i="2"/>
  <c r="C12" i="2"/>
  <c r="C13" i="2"/>
  <c r="C14" i="2"/>
  <c r="C15" i="2"/>
  <c r="C16" i="2"/>
  <c r="C8" i="2"/>
  <c r="J30" i="1"/>
  <c r="J27" i="1"/>
  <c r="J26" i="1"/>
  <c r="J25" i="1"/>
  <c r="G26" i="1"/>
  <c r="G27" i="1"/>
  <c r="G28" i="1"/>
  <c r="G29" i="1"/>
  <c r="G30" i="1"/>
  <c r="G31" i="1"/>
  <c r="G32" i="1"/>
  <c r="G33" i="1"/>
  <c r="G34" i="1"/>
  <c r="G35" i="1"/>
  <c r="G36" i="1"/>
  <c r="G37" i="1"/>
  <c r="G38" i="1"/>
  <c r="G25" i="1"/>
  <c r="F26" i="1"/>
  <c r="F27" i="1"/>
  <c r="F28" i="1"/>
  <c r="F29" i="1"/>
  <c r="F30" i="1"/>
  <c r="F31" i="1"/>
  <c r="F32" i="1"/>
  <c r="F33" i="1"/>
  <c r="F34" i="1"/>
  <c r="F35" i="1"/>
  <c r="F36" i="1"/>
  <c r="F37" i="1"/>
  <c r="F38" i="1"/>
  <c r="F25" i="1"/>
  <c r="L14" i="1"/>
  <c r="J8" i="1"/>
  <c r="F8" i="1"/>
  <c r="J7" i="1"/>
  <c r="J6" i="1"/>
  <c r="G7" i="1"/>
  <c r="G8" i="1"/>
  <c r="G9" i="1"/>
  <c r="G10" i="1"/>
  <c r="G11" i="1"/>
  <c r="G12" i="1"/>
  <c r="G13" i="1"/>
  <c r="G14" i="1"/>
  <c r="G15" i="1"/>
  <c r="G16" i="1"/>
  <c r="G6" i="1"/>
  <c r="F7" i="1"/>
  <c r="F9" i="1"/>
  <c r="F10" i="1"/>
  <c r="F11" i="1"/>
  <c r="F12" i="1"/>
  <c r="F13" i="1"/>
  <c r="F14" i="1"/>
  <c r="F15" i="1"/>
  <c r="F16" i="1"/>
  <c r="F6" i="1"/>
  <c r="E26" i="1"/>
  <c r="E27" i="1"/>
  <c r="E28" i="1"/>
  <c r="E29" i="1"/>
  <c r="E30" i="1"/>
  <c r="E31" i="1"/>
  <c r="E32" i="1"/>
  <c r="E33" i="1"/>
  <c r="E34" i="1"/>
  <c r="E35" i="1"/>
  <c r="E36" i="1"/>
  <c r="E37" i="1"/>
  <c r="E38" i="1"/>
  <c r="E25" i="1"/>
  <c r="D26" i="1"/>
  <c r="D27" i="1"/>
  <c r="D28" i="1"/>
  <c r="D29" i="1"/>
  <c r="D30" i="1"/>
  <c r="D31" i="1"/>
  <c r="D32" i="1"/>
  <c r="D33" i="1"/>
  <c r="D34" i="1"/>
  <c r="D35" i="1"/>
  <c r="D36" i="1"/>
  <c r="D37" i="1"/>
  <c r="D38" i="1"/>
  <c r="D25" i="1"/>
  <c r="C26" i="1"/>
  <c r="C27" i="1"/>
  <c r="C28" i="1"/>
  <c r="C29" i="1"/>
  <c r="C30" i="1"/>
  <c r="C31" i="1"/>
  <c r="C32" i="1"/>
  <c r="C33" i="1"/>
  <c r="C34" i="1"/>
  <c r="C35" i="1"/>
  <c r="C36" i="1"/>
  <c r="C37" i="1"/>
  <c r="C38" i="1"/>
  <c r="C25" i="1"/>
  <c r="E7" i="1"/>
  <c r="E8" i="1"/>
  <c r="E9" i="1"/>
  <c r="E10" i="1"/>
  <c r="E11" i="1"/>
  <c r="E12" i="1"/>
  <c r="E13" i="1"/>
  <c r="E14" i="1"/>
  <c r="E15" i="1"/>
  <c r="E16" i="1"/>
  <c r="E6" i="1"/>
  <c r="D7" i="1"/>
  <c r="D8" i="1"/>
  <c r="D9" i="1"/>
  <c r="D10" i="1"/>
  <c r="D11" i="1"/>
  <c r="D12" i="1"/>
  <c r="D13" i="1"/>
  <c r="D14" i="1"/>
  <c r="D15" i="1"/>
  <c r="D16" i="1"/>
  <c r="D6" i="1"/>
  <c r="C7" i="1"/>
  <c r="C8" i="1"/>
  <c r="C9" i="1"/>
  <c r="C10" i="1"/>
  <c r="C11" i="1"/>
  <c r="C12" i="1"/>
  <c r="C13" i="1"/>
  <c r="C14" i="1"/>
  <c r="C15" i="1"/>
  <c r="C16" i="1"/>
  <c r="C6" i="1"/>
  <c r="D11" i="3" l="1"/>
  <c r="E11" i="3" s="1"/>
  <c r="G10" i="3"/>
  <c r="F10" i="3"/>
  <c r="F11" i="3" l="1"/>
  <c r="G11" i="3"/>
  <c r="D12" i="3"/>
  <c r="E12" i="3" s="1"/>
  <c r="D13" i="3" l="1"/>
  <c r="E13" i="3" s="1"/>
  <c r="G12" i="3"/>
  <c r="F12" i="3"/>
  <c r="D14" i="3" l="1"/>
  <c r="E14" i="3" s="1"/>
  <c r="D15" i="3"/>
  <c r="E15" i="3" s="1"/>
  <c r="K8" i="3" s="1"/>
  <c r="F13" i="3"/>
  <c r="G13" i="3"/>
  <c r="G14" i="3" l="1"/>
  <c r="F14" i="3"/>
  <c r="F15" i="3"/>
  <c r="K9" i="3" s="1"/>
  <c r="G15" i="3"/>
  <c r="K10" i="3" s="1"/>
  <c r="K13" i="3" s="1"/>
</calcChain>
</file>

<file path=xl/sharedStrings.xml><?xml version="1.0" encoding="utf-8"?>
<sst xmlns="http://schemas.openxmlformats.org/spreadsheetml/2006/main" count="369" uniqueCount="140">
  <si>
    <t>Using Naïve Approach to Forecasting</t>
  </si>
  <si>
    <t>Class work:- Monthly Sales</t>
  </si>
  <si>
    <t>Month</t>
  </si>
  <si>
    <t>2021 Sales</t>
  </si>
  <si>
    <t>January</t>
  </si>
  <si>
    <t>February</t>
  </si>
  <si>
    <t>March</t>
  </si>
  <si>
    <t>April</t>
  </si>
  <si>
    <t>May</t>
  </si>
  <si>
    <t>June</t>
  </si>
  <si>
    <t>July</t>
  </si>
  <si>
    <t>August</t>
  </si>
  <si>
    <t>September</t>
  </si>
  <si>
    <t>October</t>
  </si>
  <si>
    <t>November</t>
  </si>
  <si>
    <t>December</t>
  </si>
  <si>
    <t>Class work:-Weekly new Customer engagement</t>
  </si>
  <si>
    <t>Week</t>
  </si>
  <si>
    <t>Customer</t>
  </si>
  <si>
    <t>Wk1</t>
  </si>
  <si>
    <t>Wk2</t>
  </si>
  <si>
    <t>Wk3</t>
  </si>
  <si>
    <t>Wk4</t>
  </si>
  <si>
    <t>Wk5</t>
  </si>
  <si>
    <t>Wk6</t>
  </si>
  <si>
    <t>Wk7</t>
  </si>
  <si>
    <t>Wk8</t>
  </si>
  <si>
    <t>Wk9</t>
  </si>
  <si>
    <t>Wk10</t>
  </si>
  <si>
    <t>Wk11</t>
  </si>
  <si>
    <t>Wk12</t>
  </si>
  <si>
    <t>Wk13</t>
  </si>
  <si>
    <t>Wk14</t>
  </si>
  <si>
    <t>Wk15</t>
  </si>
  <si>
    <t>Wk16</t>
  </si>
  <si>
    <t>Using Moving Average Approach to Forecasting</t>
  </si>
  <si>
    <t>Using Exponential Smoothing Approach to Forecasting</t>
  </si>
  <si>
    <t>Sales</t>
  </si>
  <si>
    <t>Using Simple Linear Regression Approach to Forecasting</t>
  </si>
  <si>
    <t>Using Forecast Sheet Approach to Forecasting</t>
  </si>
  <si>
    <t>Using Forecst.Linear Approach to Forecasting</t>
  </si>
  <si>
    <t>Forecasting is the process of predicting the future while analyzing the past and present data</t>
  </si>
  <si>
    <t>PRINCIPLES OF FORECASTING</t>
  </si>
  <si>
    <t>1. Forecasts are rarely perfect</t>
  </si>
  <si>
    <t>3. Forecasts are more accurate for shorter than longer time periods</t>
  </si>
  <si>
    <t>2. They are more accurate for grouped data than for individual items. i.e. forecasting for days instead of week/month</t>
  </si>
  <si>
    <t>TYPES OF  FORECASTING</t>
  </si>
  <si>
    <t>QUALITATIVE</t>
  </si>
  <si>
    <t>Opinions from experts, decision makers, or customers</t>
  </si>
  <si>
    <t>QUANTITATIVE</t>
  </si>
  <si>
    <t>Historical data from time series or correlation information</t>
  </si>
  <si>
    <t>not gut feeling o. Possibly experience</t>
  </si>
  <si>
    <t>TYPES OF QUALITATIVE FORCASTING</t>
  </si>
  <si>
    <t>1. EXPERT OPINION : A method of forecasting using a composite forecast prepared by a number of individual experts</t>
  </si>
  <si>
    <t xml:space="preserve">Jury of expert opinion is on of the methods for forecasting sales qualitatively where executives from different streams of </t>
  </si>
  <si>
    <t>business provide their inputs. Jury of expert opinion considers experts from marketing, sales, HR, Finance, operations, production department, who discuss and provide their opinions and experience to the board of directors as high level executives are well acquainted with the strengths and weaknesses of the firm and what changes need to be done</t>
  </si>
  <si>
    <t>2. Dephi Method</t>
  </si>
  <si>
    <t>It is a forecasting process framewwork based on the results of multiple rounds of questionnaires sent to a panel of experts</t>
  </si>
  <si>
    <t>After each round of questionnaires, the experts are presented with an aggregated summary of the last round, allowing each expert to adjust their answers according to the group response</t>
  </si>
  <si>
    <t>3. Sales force extimates</t>
  </si>
  <si>
    <t>A method commonly used by companies for short-term forecasts is to take advantage of their field staff's intimate knowledge of customers' needs and market condidtions by asking them to forecast the companys' sales for their respective areas for the coming season or year</t>
  </si>
  <si>
    <t>4. Consumer surveys</t>
  </si>
  <si>
    <t>It involves direct interview of the potential consumers. Consumers are simply contacted by the interviewer and asked how much they would be willing to purchase a given product at a number of alternative product price levels</t>
  </si>
  <si>
    <t>TYPES OF QUANTITATIVE</t>
  </si>
  <si>
    <t>1. Naïve approach</t>
  </si>
  <si>
    <t>2. Moving Averages</t>
  </si>
  <si>
    <t>3. Exponential Smoothing</t>
  </si>
  <si>
    <t>4. Trend Projection</t>
  </si>
  <si>
    <t>BUZZWORDS IN FORECASTING</t>
  </si>
  <si>
    <t>1. Trend - The increasing or decreasing value in the series</t>
  </si>
  <si>
    <t>2. Seasonality -  The repeating short term cycle In the series</t>
  </si>
  <si>
    <t>1. MAD (MEAN ABSOLUTE DEVIATION(ERROR)) :</t>
  </si>
  <si>
    <t>Deviation is same as error</t>
  </si>
  <si>
    <t>2. MSE (MEAN SQUARED ERROR)</t>
  </si>
  <si>
    <t>3. MAPE = MEAN ABSOLUTE PERCENTAGE ERROR (USED TO CALCULATE ACCURACY OF MODEL)</t>
  </si>
  <si>
    <t>FORECAST EVALUATION - TO EVALUATE YOUR FORECAST</t>
  </si>
  <si>
    <t>It's naïve because when creating your forecast, you make an assuumption that whatever you did in the previous period becomes your current forecast</t>
  </si>
  <si>
    <t>i.e. if you sold 10k yesterday,Tuesday you will assume that you will sell 10k</t>
  </si>
  <si>
    <t>Forecast</t>
  </si>
  <si>
    <t>Error/Deviation</t>
  </si>
  <si>
    <t>Actual - forecast</t>
  </si>
  <si>
    <t>Absolute error</t>
  </si>
  <si>
    <t>deviation</t>
  </si>
  <si>
    <t>absolute error</t>
  </si>
  <si>
    <t>Absolute squared error</t>
  </si>
  <si>
    <t>Absolute squared error gives importance to the smaller values</t>
  </si>
  <si>
    <t>Absolute percent error(absolute error/actual sales)</t>
  </si>
  <si>
    <t>EVALUATE OUR FORECAST USING</t>
  </si>
  <si>
    <t>MAD</t>
  </si>
  <si>
    <t>MSE</t>
  </si>
  <si>
    <t>MAPE</t>
  </si>
  <si>
    <t>Mean absolute error/deviation</t>
  </si>
  <si>
    <t>Mean squared error</t>
  </si>
  <si>
    <t>MAE/</t>
  </si>
  <si>
    <t>MAE</t>
  </si>
  <si>
    <t>The above means that if you use the naïve forecast in 2022, whenever you forecast you are going to deviate by 3,455</t>
  </si>
  <si>
    <t>MSE does not tell you anything</t>
  </si>
  <si>
    <t>MSE is used to assess. If you compare the MSE of naïve aapproach and moving approach and the MSE of naïve approach is lesser, go with naïve approach</t>
  </si>
  <si>
    <t>Mean absolute percent error</t>
  </si>
  <si>
    <t>To determine accuracy (100% - MAPE)</t>
  </si>
  <si>
    <t>Naïve approach =</t>
  </si>
  <si>
    <t>This 90% means that when you use the naïve approach, you will get an error of 10%. It will be 90% accurate</t>
  </si>
  <si>
    <t>absolute squared error</t>
  </si>
  <si>
    <t>absolute percent error</t>
  </si>
  <si>
    <t>NAÏVE APPROACH</t>
  </si>
  <si>
    <t>10% indicates 3455</t>
  </si>
  <si>
    <t>Forecasted sales error</t>
  </si>
  <si>
    <t>2 months MA indicates that we'll take the average of the last 2 months say we are forecasting for march, we'll look at the average of january and february</t>
  </si>
  <si>
    <t>MA</t>
  </si>
  <si>
    <r>
      <t>3-month moving average</t>
    </r>
    <r>
      <rPr>
        <sz val="11"/>
        <color theme="1"/>
        <rFont val="Calibri"/>
        <scheme val="minor"/>
      </rPr>
      <t>,  is commonly used for short-term forecasting</t>
    </r>
  </si>
  <si>
    <t>exponential smoothing tries to smoothen the curve</t>
  </si>
  <si>
    <t>E S</t>
  </si>
  <si>
    <t>Damping factor is the one on the forecasted value</t>
  </si>
  <si>
    <t>Y = a + bx</t>
  </si>
  <si>
    <t>y = dependent variable</t>
  </si>
  <si>
    <t>x = independent variable</t>
  </si>
  <si>
    <t>a = intercept</t>
  </si>
  <si>
    <t>b = slope</t>
  </si>
  <si>
    <t>forecast sheet is a quick way of forecasting using microsoft excel</t>
  </si>
  <si>
    <t>Period</t>
  </si>
  <si>
    <t>Forecast(Sales)</t>
  </si>
  <si>
    <t>Lower Confidence Bound(Sales)</t>
  </si>
  <si>
    <t>Upper Confidence Bound(Sales)</t>
  </si>
  <si>
    <t>y = january</t>
  </si>
  <si>
    <t>Forecasted sales</t>
  </si>
  <si>
    <t>forecast linear</t>
  </si>
  <si>
    <t>intercept:</t>
  </si>
  <si>
    <t>slope:</t>
  </si>
  <si>
    <t>intercept means the value of y, when x = 0</t>
  </si>
  <si>
    <t xml:space="preserve"> MAD</t>
  </si>
  <si>
    <t xml:space="preserve"> MSE</t>
  </si>
  <si>
    <t>for forecasted value y = a +bx</t>
  </si>
  <si>
    <t>linear forecast takes out seasonality which is not good so we have to capture seasonality index</t>
  </si>
  <si>
    <t>Month Average</t>
  </si>
  <si>
    <t>Overall month average</t>
  </si>
  <si>
    <t>Seaonality Index</t>
  </si>
  <si>
    <t>The forecasted takes away the seasonality</t>
  </si>
  <si>
    <t>seasonality</t>
  </si>
  <si>
    <t>Linear trend (forecasted)* seasonality</t>
  </si>
  <si>
    <t>SLR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</si>
</sst>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_-;\-* #,##0_-;_-* &quot;-&quot;??_-;_-@"/>
    <numFmt numFmtId="165" formatCode="_-* #,##0.00_-;\-* #,##0.00_-;_-* &quot;-&quot;??_-;_-@"/>
    <numFmt numFmtId="166" formatCode="_-* #,##0.0_-;\-* #,##0.0_-;_-* &quot;-&quot;?_-;_-@_-"/>
    <numFmt numFmtId="167" formatCode="_-* #,##0_-;\-* #,##0_-;_-* &quot;-&quot;?_-;_-@_-"/>
    <numFmt numFmtId="168" formatCode="_-* #,##0.00_-;\-* #,##0.00_-;_-* &quot;-&quot;?_-;_-@_-"/>
    <numFmt numFmtId="169" formatCode="_-* #,##0.000_-;\-* #,##0.000_-;_-* &quot;-&quot;?_-;_-@_-"/>
    <numFmt numFmtId="170" formatCode="_-* #,##0.0000_-;\-* #,##0.0000_-;_-* &quot;-&quot;?_-;_-@_-"/>
    <numFmt numFmtId="171" formatCode="_-* #,##0.00000_-;\-* #,##0.00000_-;_-* &quot;-&quot;?_-;_-@_-"/>
    <numFmt numFmtId="172" formatCode="_-* #,##0_-;\-* #,##0_-;_-* &quot;-&quot;??_-;_-@_-"/>
  </numFmts>
  <fonts count="12" x14ac:knownFonts="1">
    <font>
      <sz val="11"/>
      <color theme="1"/>
      <name val="Calibri"/>
      <scheme val="minor"/>
    </font>
    <font>
      <sz val="11"/>
      <color theme="1"/>
      <name val="Calibri"/>
      <family val="2"/>
      <scheme val="minor"/>
    </font>
    <font>
      <sz val="11"/>
      <color theme="1"/>
      <name val="Calibri"/>
      <family val="2"/>
      <scheme val="minor"/>
    </font>
    <font>
      <b/>
      <sz val="12"/>
      <color theme="0"/>
      <name val="Calibri"/>
      <family val="2"/>
    </font>
    <font>
      <b/>
      <sz val="11"/>
      <color theme="1"/>
      <name val="Calibri"/>
      <family val="2"/>
    </font>
    <font>
      <sz val="11"/>
      <color theme="1"/>
      <name val="Calibri"/>
      <family val="2"/>
    </font>
    <font>
      <sz val="11"/>
      <color theme="1"/>
      <name val="Calibri"/>
      <family val="2"/>
      <scheme val="minor"/>
    </font>
    <font>
      <sz val="11"/>
      <color theme="1"/>
      <name val="Calibri"/>
      <family val="2"/>
      <scheme val="minor"/>
    </font>
    <font>
      <sz val="11"/>
      <color rgb="FF000000"/>
      <name val="Calibri"/>
      <family val="2"/>
      <scheme val="minor"/>
    </font>
    <font>
      <sz val="11"/>
      <color theme="1"/>
      <name val="Calibri"/>
      <scheme val="minor"/>
    </font>
    <font>
      <sz val="11"/>
      <color rgb="FF000000"/>
      <name val="Calibri"/>
      <scheme val="minor"/>
    </font>
    <font>
      <sz val="8"/>
      <name val="Calibri"/>
      <scheme val="minor"/>
    </font>
  </fonts>
  <fills count="5">
    <fill>
      <patternFill patternType="none"/>
    </fill>
    <fill>
      <patternFill patternType="gray125"/>
    </fill>
    <fill>
      <patternFill patternType="solid">
        <fgColor rgb="FF833C0B"/>
        <bgColor rgb="FF833C0B"/>
      </patternFill>
    </fill>
    <fill>
      <patternFill patternType="solid">
        <fgColor rgb="FFF4B083"/>
        <bgColor rgb="FFF4B083"/>
      </patternFill>
    </fill>
    <fill>
      <patternFill patternType="solid">
        <fgColor rgb="FFFBE4D5"/>
        <bgColor rgb="FFFBE4D5"/>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diagonal/>
    </border>
  </borders>
  <cellStyleXfs count="3">
    <xf numFmtId="0" fontId="0" fillId="0" borderId="0"/>
    <xf numFmtId="9" fontId="7" fillId="0" borderId="0" applyFont="0" applyFill="0" applyBorder="0" applyAlignment="0" applyProtection="0"/>
    <xf numFmtId="43" fontId="9" fillId="0" borderId="0" applyFont="0" applyFill="0" applyBorder="0" applyAlignment="0" applyProtection="0"/>
  </cellStyleXfs>
  <cellXfs count="47">
    <xf numFmtId="0" fontId="0" fillId="0" borderId="0" xfId="0"/>
    <xf numFmtId="0" fontId="3" fillId="2" borderId="1" xfId="0" applyFont="1" applyFill="1" applyBorder="1"/>
    <xf numFmtId="0" fontId="4" fillId="3" borderId="1" xfId="0" applyFont="1" applyFill="1" applyBorder="1"/>
    <xf numFmtId="0" fontId="5" fillId="4" borderId="2" xfId="0" applyFont="1" applyFill="1" applyBorder="1"/>
    <xf numFmtId="0" fontId="5" fillId="0" borderId="2" xfId="0" applyFont="1" applyBorder="1"/>
    <xf numFmtId="164" fontId="5" fillId="0" borderId="2" xfId="0" applyNumberFormat="1" applyFont="1" applyBorder="1"/>
    <xf numFmtId="164" fontId="5" fillId="0" borderId="0" xfId="0" applyNumberFormat="1" applyFont="1"/>
    <xf numFmtId="9" fontId="5" fillId="0" borderId="0" xfId="0" applyNumberFormat="1" applyFont="1"/>
    <xf numFmtId="0" fontId="4" fillId="0" borderId="0" xfId="0" applyFont="1"/>
    <xf numFmtId="164" fontId="4" fillId="0" borderId="0" xfId="0" applyNumberFormat="1" applyFont="1"/>
    <xf numFmtId="9" fontId="4" fillId="0" borderId="0" xfId="0" applyNumberFormat="1" applyFont="1"/>
    <xf numFmtId="0" fontId="6" fillId="0" borderId="0" xfId="0" applyFont="1"/>
    <xf numFmtId="165" fontId="5" fillId="0" borderId="0" xfId="0" applyNumberFormat="1" applyFont="1"/>
    <xf numFmtId="1" fontId="5" fillId="0" borderId="0" xfId="0" applyNumberFormat="1" applyFont="1"/>
    <xf numFmtId="0" fontId="2" fillId="0" borderId="0" xfId="0" applyFont="1"/>
    <xf numFmtId="0" fontId="2" fillId="0" borderId="3" xfId="0" applyFont="1" applyBorder="1"/>
    <xf numFmtId="0" fontId="0" fillId="0" borderId="4" xfId="0" applyBorder="1"/>
    <xf numFmtId="0" fontId="0" fillId="0" borderId="5" xfId="0" applyBorder="1"/>
    <xf numFmtId="0" fontId="2" fillId="0" borderId="1" xfId="0" applyFont="1" applyBorder="1"/>
    <xf numFmtId="0" fontId="2" fillId="0" borderId="0" xfId="0" applyFont="1" applyAlignment="1">
      <alignment horizontal="center" wrapText="1"/>
    </xf>
    <xf numFmtId="0" fontId="1" fillId="0" borderId="0" xfId="0" applyFont="1"/>
    <xf numFmtId="0" fontId="1" fillId="0" borderId="1" xfId="0" applyFont="1" applyBorder="1"/>
    <xf numFmtId="164" fontId="4" fillId="0" borderId="0" xfId="0" applyNumberFormat="1" applyFont="1" applyAlignment="1">
      <alignment horizontal="center" wrapText="1"/>
    </xf>
    <xf numFmtId="164" fontId="0" fillId="0" borderId="0" xfId="0" applyNumberFormat="1"/>
    <xf numFmtId="9" fontId="4" fillId="0" borderId="0" xfId="1" applyFont="1"/>
    <xf numFmtId="9" fontId="1" fillId="0" borderId="0" xfId="1" applyFont="1"/>
    <xf numFmtId="9" fontId="0" fillId="0" borderId="0" xfId="1" applyFont="1"/>
    <xf numFmtId="1" fontId="0" fillId="0" borderId="0" xfId="0" applyNumberFormat="1"/>
    <xf numFmtId="9" fontId="0" fillId="0" borderId="0" xfId="0" applyNumberFormat="1"/>
    <xf numFmtId="0" fontId="8" fillId="0" borderId="1" xfId="0" applyFont="1" applyBorder="1"/>
    <xf numFmtId="0" fontId="8" fillId="0" borderId="0" xfId="0" applyFont="1"/>
    <xf numFmtId="166" fontId="0" fillId="0" borderId="0" xfId="0" applyNumberFormat="1"/>
    <xf numFmtId="43"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0" fontId="5" fillId="0" borderId="6" xfId="0" applyFont="1" applyBorder="1"/>
    <xf numFmtId="164" fontId="8" fillId="0" borderId="1" xfId="0" applyNumberFormat="1" applyFont="1" applyBorder="1"/>
    <xf numFmtId="164" fontId="10" fillId="0" borderId="1" xfId="0" applyNumberFormat="1" applyFont="1" applyBorder="1"/>
    <xf numFmtId="9" fontId="8" fillId="0" borderId="1" xfId="0" applyNumberFormat="1" applyFont="1" applyBorder="1"/>
    <xf numFmtId="9" fontId="10" fillId="0" borderId="1" xfId="0" applyNumberFormat="1" applyFont="1" applyBorder="1"/>
    <xf numFmtId="0" fontId="10" fillId="0" borderId="1" xfId="0" applyFont="1" applyBorder="1"/>
    <xf numFmtId="172" fontId="0" fillId="0" borderId="0" xfId="2" applyNumberFormat="1" applyFont="1"/>
    <xf numFmtId="2" fontId="0" fillId="0" borderId="0" xfId="1" applyNumberFormat="1" applyFont="1"/>
    <xf numFmtId="164" fontId="5" fillId="0" borderId="0" xfId="1" applyNumberFormat="1" applyFont="1"/>
  </cellXfs>
  <cellStyles count="3">
    <cellStyle name="Comma" xfId="2" builtinId="3"/>
    <cellStyle name="Normal" xfId="0" builtinId="0"/>
    <cellStyle name="Percent" xfId="1" builtinId="5"/>
  </cellStyles>
  <dxfs count="3">
    <dxf>
      <numFmt numFmtId="164" formatCode="_-* #,##0_-;\-* #,##0_-;_-* &quot;-&quot;??_-;_-@"/>
    </dxf>
    <dxf>
      <numFmt numFmtId="164" formatCode="_-* #,##0_-;\-* #,##0_-;_-* &quot;-&quot;??_-;_-@"/>
    </dxf>
    <dxf>
      <numFmt numFmtId="164" formatCode="_-* #,##0_-;\-* #,##0_-;_-* &quot;-&quot;??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 MONTHS 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'Moving Average'!$B$4</c:f>
              <c:strCache>
                <c:ptCount val="1"/>
                <c:pt idx="0">
                  <c:v>2021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'Moving Average'!$A$5:$A$16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'Moving Average'!$B$5:$B$16</c:f>
              <c:numCache>
                <c:formatCode>_-* #,##0_-;\-* #,##0_-;_-* "-"??_-;_-@</c:formatCode>
                <c:ptCount val="12"/>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41F2-41B3-8D0D-8D470BE21721}"/>
            </c:ext>
          </c:extLst>
        </c:ser>
        <c:ser>
          <c:idx val="1"/>
          <c:order val="1"/>
          <c:tx>
            <c:strRef>
              <c:f>'Moving Average'!$C$4</c:f>
              <c:strCache>
                <c:ptCount val="1"/>
                <c:pt idx="0">
                  <c:v>Forecasted sales error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'Moving Average'!$A$5:$A$16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'Moving Average'!$C$5:$C$16</c:f>
              <c:numCache>
                <c:formatCode>General</c:formatCode>
                <c:ptCount val="12"/>
                <c:pt idx="3" formatCode="_-* #,##0_-;\-* #,##0_-;_-* &quot;-&quot;??_-;_-@">
                  <c:v>38333.333333333336</c:v>
                </c:pt>
                <c:pt idx="4" formatCode="_-* #,##0_-;\-* #,##0_-;_-* &quot;-&quot;??_-;_-@">
                  <c:v>42666.666666666664</c:v>
                </c:pt>
                <c:pt idx="5" formatCode="_-* #,##0_-;\-* #,##0_-;_-* &quot;-&quot;??_-;_-@">
                  <c:v>46333.333333333336</c:v>
                </c:pt>
                <c:pt idx="6" formatCode="_-* #,##0_-;\-* #,##0_-;_-* &quot;-&quot;??_-;_-@">
                  <c:v>47666.666666666664</c:v>
                </c:pt>
                <c:pt idx="7" formatCode="_-* #,##0_-;\-* #,##0_-;_-* &quot;-&quot;??_-;_-@">
                  <c:v>47333.333333333336</c:v>
                </c:pt>
                <c:pt idx="8" formatCode="_-* #,##0_-;\-* #,##0_-;_-* &quot;-&quot;??_-;_-@">
                  <c:v>45666.666666666664</c:v>
                </c:pt>
                <c:pt idx="9" formatCode="_-* #,##0_-;\-* #,##0_-;_-* &quot;-&quot;??_-;_-@">
                  <c:v>40333.333333333336</c:v>
                </c:pt>
                <c:pt idx="10" formatCode="_-* #,##0_-;\-* #,##0_-;_-* &quot;-&quot;??_-;_-@">
                  <c:v>34000</c:v>
                </c:pt>
                <c:pt idx="11" formatCode="_-* #,##0_-;\-* #,##0_-;_-* &quot;-&quot;??_-;_-@">
                  <c:v>28333.333333333332</c:v>
                </c:pt>
              </c:numCache>
            </c:numRef>
          </c:val>
          <c:smooth val="0"/>
          <c:extLst>
            <c:ext xmlns:c16="http://schemas.microsoft.com/office/drawing/2014/chart" uri="{C3380CC4-5D6E-409C-BE32-E72D297353CC}">
              <c16:uniqueId val="{00000001-41F2-41B3-8D0D-8D470BE21721}"/>
            </c:ext>
          </c:extLst>
        </c:ser>
        <c:dLbls>
          <c:showLegendKey val="0"/>
          <c:showVal val="0"/>
          <c:showCatName val="0"/>
          <c:showSerName val="0"/>
          <c:showPercent val="0"/>
          <c:showBubbleSize val="0"/>
        </c:dLbls>
        <c:marker val="1"/>
        <c:smooth val="0"/>
        <c:axId val="2090488400"/>
        <c:axId val="2090488880"/>
      </c:lineChart>
      <c:catAx>
        <c:axId val="20904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90488880"/>
        <c:crosses val="autoZero"/>
        <c:auto val="1"/>
        <c:lblAlgn val="ctr"/>
        <c:lblOffset val="100"/>
        <c:noMultiLvlLbl val="0"/>
      </c:catAx>
      <c:valAx>
        <c:axId val="20904888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9048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'Exponential Smoothing'!$B$4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'Exponential Smoothing'!$A$5:$A$16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'Exponential Smoothing'!$B$5:$B$16</c:f>
              <c:numCache>
                <c:formatCode>_-* #,##0_-;\-* #,##0_-;_-* "-"??_-;_-@</c:formatCode>
                <c:ptCount val="12"/>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AFC7-46C0-9F4A-90DF5A54D89A}"/>
            </c:ext>
          </c:extLst>
        </c:ser>
        <c:dLbls>
          <c:showLegendKey val="0"/>
          <c:showVal val="0"/>
          <c:showCatName val="0"/>
          <c:showSerName val="0"/>
          <c:showPercent val="0"/>
          <c:showBubbleSize val="0"/>
        </c:dLbls>
        <c:marker val="1"/>
        <c:smooth val="0"/>
        <c:axId val="148414768"/>
        <c:axId val="38448384"/>
      </c:lineChart>
      <c:catAx>
        <c:axId val="1484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448384"/>
        <c:crosses val="autoZero"/>
        <c:auto val="1"/>
        <c:lblAlgn val="ctr"/>
        <c:lblOffset val="100"/>
        <c:noMultiLvlLbl val="0"/>
      </c:catAx>
      <c:valAx>
        <c:axId val="384483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41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Smoothing</a:t>
            </a:r>
          </a:p>
        </c:rich>
      </c:tx>
      <c:overlay val="0"/>
    </c:title>
    <c:autoTitleDeleted val="0"/>
    <c:plotArea>
      <c:layout/>
      <c:lineChart>
        <c:grouping val="standard"/>
        <c:varyColors val="0"/>
        <c:ser>
          <c:idx val="0"/>
          <c:order val="0"/>
          <c:tx>
            <c:v>Actual</c:v>
          </c:tx>
          <c:val>
            <c:numRef>
              <c:f>'Exponential Smoothing'!$B$6:$B$16</c:f>
              <c:numCache>
                <c:formatCode>_-* #,##0_-;\-* #,##0_-;_-* "-"??_-;_-@</c:formatCode>
                <c:ptCount val="11"/>
                <c:pt idx="0">
                  <c:v>37000</c:v>
                </c:pt>
                <c:pt idx="1">
                  <c:v>44000</c:v>
                </c:pt>
                <c:pt idx="2">
                  <c:v>47000</c:v>
                </c:pt>
                <c:pt idx="3">
                  <c:v>48000</c:v>
                </c:pt>
                <c:pt idx="4">
                  <c:v>48000</c:v>
                </c:pt>
                <c:pt idx="5">
                  <c:v>46000</c:v>
                </c:pt>
                <c:pt idx="6">
                  <c:v>43000</c:v>
                </c:pt>
                <c:pt idx="7">
                  <c:v>32000</c:v>
                </c:pt>
                <c:pt idx="8">
                  <c:v>27000</c:v>
                </c:pt>
                <c:pt idx="9">
                  <c:v>26000</c:v>
                </c:pt>
                <c:pt idx="10">
                  <c:v>24000</c:v>
                </c:pt>
              </c:numCache>
            </c:numRef>
          </c:val>
          <c:smooth val="0"/>
          <c:extLst>
            <c:ext xmlns:c16="http://schemas.microsoft.com/office/drawing/2014/chart" uri="{C3380CC4-5D6E-409C-BE32-E72D297353CC}">
              <c16:uniqueId val="{00000001-94B1-4A6F-9D07-A0172F37131A}"/>
            </c:ext>
          </c:extLst>
        </c:ser>
        <c:ser>
          <c:idx val="1"/>
          <c:order val="1"/>
          <c:tx>
            <c:v>Forecast</c:v>
          </c:tx>
          <c:val>
            <c:numRef>
              <c:f>'Exponential Smoothing'!$C$5:$C$15</c:f>
              <c:numCache>
                <c:formatCode>_-* #,##0_-;\-* #,##0_-;_-* "-"??_-;_-@</c:formatCode>
                <c:ptCount val="11"/>
                <c:pt idx="0" formatCode="General">
                  <c:v>#N/A</c:v>
                </c:pt>
                <c:pt idx="1">
                  <c:v>34000</c:v>
                </c:pt>
                <c:pt idx="2" formatCode="_-* #,##0_-;\-* #,##0_-;_-* &quot;-&quot;?_-;_-@_-">
                  <c:v>36700</c:v>
                </c:pt>
                <c:pt idx="3" formatCode="_-* #,##0_-;\-* #,##0_-;_-* &quot;-&quot;?_-;_-@_-">
                  <c:v>43270</c:v>
                </c:pt>
                <c:pt idx="4" formatCode="_-* #,##0_-;\-* #,##0_-;_-* &quot;-&quot;?_-;_-@_-">
                  <c:v>46627</c:v>
                </c:pt>
                <c:pt idx="5" formatCode="_-* #,##0.0_-;\-* #,##0.0_-;_-* &quot;-&quot;?_-;_-@_-">
                  <c:v>47862.7</c:v>
                </c:pt>
                <c:pt idx="6" formatCode="_-* #,##0.00_-;\-* #,##0.00_-;_-* &quot;-&quot;?_-;_-@_-">
                  <c:v>47986.27</c:v>
                </c:pt>
                <c:pt idx="7" formatCode="_-* #,##0.000_-;\-* #,##0.000_-;_-* &quot;-&quot;?_-;_-@_-">
                  <c:v>46198.627</c:v>
                </c:pt>
                <c:pt idx="8" formatCode="_-* #,##0.0000_-;\-* #,##0.0000_-;_-* &quot;-&quot;?_-;_-@_-">
                  <c:v>43319.862699999998</c:v>
                </c:pt>
                <c:pt idx="9" formatCode="_-* #,##0.00000_-;\-* #,##0.00000_-;_-* &quot;-&quot;?_-;_-@_-">
                  <c:v>33131.986270000001</c:v>
                </c:pt>
                <c:pt idx="10" formatCode="_-* #,##0.00000_-;\-* #,##0.00000_-;_-* &quot;-&quot;?_-;_-@_-">
                  <c:v>27613.198627000002</c:v>
                </c:pt>
              </c:numCache>
            </c:numRef>
          </c:val>
          <c:smooth val="0"/>
          <c:extLst>
            <c:ext xmlns:c16="http://schemas.microsoft.com/office/drawing/2014/chart" uri="{C3380CC4-5D6E-409C-BE32-E72D297353CC}">
              <c16:uniqueId val="{00000002-94B1-4A6F-9D07-A0172F37131A}"/>
            </c:ext>
          </c:extLst>
        </c:ser>
        <c:dLbls>
          <c:showLegendKey val="0"/>
          <c:showVal val="0"/>
          <c:showCatName val="0"/>
          <c:showSerName val="0"/>
          <c:showPercent val="0"/>
          <c:showBubbleSize val="0"/>
        </c:dLbls>
        <c:marker val="1"/>
        <c:smooth val="0"/>
        <c:axId val="2091059280"/>
        <c:axId val="2091060240"/>
      </c:lineChart>
      <c:catAx>
        <c:axId val="2091059280"/>
        <c:scaling>
          <c:orientation val="minMax"/>
        </c:scaling>
        <c:delete val="0"/>
        <c:axPos val="b"/>
        <c:title>
          <c:tx>
            <c:rich>
              <a:bodyPr/>
              <a:lstStyle/>
              <a:p>
                <a:pPr>
                  <a:defRPr/>
                </a:pPr>
                <a:r>
                  <a:rPr lang="en-US"/>
                  <a:t>Data Point</a:t>
                </a:r>
              </a:p>
            </c:rich>
          </c:tx>
          <c:overlay val="0"/>
        </c:title>
        <c:majorTickMark val="out"/>
        <c:minorTickMark val="none"/>
        <c:tickLblPos val="nextTo"/>
        <c:crossAx val="2091060240"/>
        <c:crosses val="autoZero"/>
        <c:auto val="1"/>
        <c:lblAlgn val="ctr"/>
        <c:lblOffset val="100"/>
        <c:noMultiLvlLbl val="0"/>
      </c:catAx>
      <c:valAx>
        <c:axId val="2091060240"/>
        <c:scaling>
          <c:orientation val="minMax"/>
        </c:scaling>
        <c:delete val="0"/>
        <c:axPos val="l"/>
        <c:title>
          <c:tx>
            <c:rich>
              <a:bodyPr/>
              <a:lstStyle/>
              <a:p>
                <a:pPr>
                  <a:defRPr/>
                </a:pPr>
                <a:r>
                  <a:rPr lang="en-US"/>
                  <a:t>Value</a:t>
                </a:r>
              </a:p>
            </c:rich>
          </c:tx>
          <c:overlay val="0"/>
        </c:title>
        <c:numFmt formatCode="_-* #,##0_-;\-* #,##0_-;_-* &quot;-&quot;??_-;_-@" sourceLinked="1"/>
        <c:majorTickMark val="out"/>
        <c:minorTickMark val="none"/>
        <c:tickLblPos val="nextTo"/>
        <c:crossAx val="209105928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chemeClr val="accent1">
          <a:alpha val="96000"/>
        </a:schemeClr>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'Exponential Smoothing'!$B$4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'Exponential Smoothing'!$B$5:$B$16</c:f>
              <c:numCache>
                <c:formatCode>_-* #,##0_-;\-* #,##0_-;_-* "-"??_-;_-@</c:formatCode>
                <c:ptCount val="12"/>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FC3D-44AA-9C29-44DACEE0BFCC}"/>
            </c:ext>
          </c:extLst>
        </c:ser>
        <c:ser>
          <c:idx val="1"/>
          <c:order val="1"/>
          <c:tx>
            <c:strRef>
              <c:f>'Exponential Smoothing'!$C$4</c:f>
              <c:strCache>
                <c:ptCount val="1"/>
                <c:pt idx="0">
                  <c:v>Forecast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'Exponential Smoothing'!$C$5:$C$16</c:f>
              <c:numCache>
                <c:formatCode>_-* #,##0_-;\-* #,##0_-;_-* "-"??_-;_-@</c:formatCode>
                <c:ptCount val="12"/>
                <c:pt idx="0" formatCode="General">
                  <c:v>#N/A</c:v>
                </c:pt>
                <c:pt idx="1">
                  <c:v>34000</c:v>
                </c:pt>
                <c:pt idx="2" formatCode="_-* #,##0_-;\-* #,##0_-;_-* &quot;-&quot;?_-;_-@_-">
                  <c:v>36700</c:v>
                </c:pt>
                <c:pt idx="3" formatCode="_-* #,##0_-;\-* #,##0_-;_-* &quot;-&quot;?_-;_-@_-">
                  <c:v>43270</c:v>
                </c:pt>
                <c:pt idx="4" formatCode="_-* #,##0_-;\-* #,##0_-;_-* &quot;-&quot;?_-;_-@_-">
                  <c:v>46627</c:v>
                </c:pt>
                <c:pt idx="5" formatCode="_-* #,##0.0_-;\-* #,##0.0_-;_-* &quot;-&quot;?_-;_-@_-">
                  <c:v>47862.7</c:v>
                </c:pt>
                <c:pt idx="6" formatCode="_-* #,##0.00_-;\-* #,##0.00_-;_-* &quot;-&quot;?_-;_-@_-">
                  <c:v>47986.27</c:v>
                </c:pt>
                <c:pt idx="7" formatCode="_-* #,##0.000_-;\-* #,##0.000_-;_-* &quot;-&quot;?_-;_-@_-">
                  <c:v>46198.627</c:v>
                </c:pt>
                <c:pt idx="8" formatCode="_-* #,##0.0000_-;\-* #,##0.0000_-;_-* &quot;-&quot;?_-;_-@_-">
                  <c:v>43319.862699999998</c:v>
                </c:pt>
                <c:pt idx="9" formatCode="_-* #,##0.00000_-;\-* #,##0.00000_-;_-* &quot;-&quot;?_-;_-@_-">
                  <c:v>33131.986270000001</c:v>
                </c:pt>
                <c:pt idx="10" formatCode="_-* #,##0.00000_-;\-* #,##0.00000_-;_-* &quot;-&quot;?_-;_-@_-">
                  <c:v>27613.198627000002</c:v>
                </c:pt>
                <c:pt idx="11" formatCode="_-* #,##0.00000_-;\-* #,##0.00000_-;_-* &quot;-&quot;?_-;_-@_-">
                  <c:v>26161.319862700002</c:v>
                </c:pt>
              </c:numCache>
            </c:numRef>
          </c:val>
          <c:smooth val="0"/>
          <c:extLst>
            <c:ext xmlns:c16="http://schemas.microsoft.com/office/drawing/2014/chart" uri="{C3380CC4-5D6E-409C-BE32-E72D297353CC}">
              <c16:uniqueId val="{00000001-FC3D-44AA-9C29-44DACEE0BFCC}"/>
            </c:ext>
          </c:extLst>
        </c:ser>
        <c:dLbls>
          <c:showLegendKey val="0"/>
          <c:showVal val="0"/>
          <c:showCatName val="0"/>
          <c:showSerName val="0"/>
          <c:showPercent val="0"/>
          <c:showBubbleSize val="0"/>
        </c:dLbls>
        <c:marker val="1"/>
        <c:smooth val="0"/>
        <c:axId val="206346704"/>
        <c:axId val="206344304"/>
      </c:lineChart>
      <c:catAx>
        <c:axId val="2063467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44304"/>
        <c:crosses val="autoZero"/>
        <c:auto val="1"/>
        <c:lblAlgn val="ctr"/>
        <c:lblOffset val="100"/>
        <c:noMultiLvlLbl val="0"/>
      </c:catAx>
      <c:valAx>
        <c:axId val="20634430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4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val>
            <c:numRef>
              <c:f>'Exponential Smoothing'!$B$6:$B$16</c:f>
              <c:numCache>
                <c:formatCode>_-* #,##0_-;\-* #,##0_-;_-* "-"??_-;_-@</c:formatCode>
                <c:ptCount val="11"/>
                <c:pt idx="0">
                  <c:v>37000</c:v>
                </c:pt>
                <c:pt idx="1">
                  <c:v>44000</c:v>
                </c:pt>
                <c:pt idx="2">
                  <c:v>47000</c:v>
                </c:pt>
                <c:pt idx="3">
                  <c:v>48000</c:v>
                </c:pt>
                <c:pt idx="4">
                  <c:v>48000</c:v>
                </c:pt>
                <c:pt idx="5">
                  <c:v>46000</c:v>
                </c:pt>
                <c:pt idx="6">
                  <c:v>43000</c:v>
                </c:pt>
                <c:pt idx="7">
                  <c:v>32000</c:v>
                </c:pt>
                <c:pt idx="8">
                  <c:v>27000</c:v>
                </c:pt>
                <c:pt idx="9">
                  <c:v>26000</c:v>
                </c:pt>
                <c:pt idx="10">
                  <c:v>24000</c:v>
                </c:pt>
              </c:numCache>
            </c:numRef>
          </c:val>
          <c:smooth val="0"/>
          <c:extLst>
            <c:ext xmlns:c16="http://schemas.microsoft.com/office/drawing/2014/chart" uri="{C3380CC4-5D6E-409C-BE32-E72D297353CC}">
              <c16:uniqueId val="{00000001-E5C8-453B-9969-B5CE23CE35CF}"/>
            </c:ext>
          </c:extLst>
        </c:ser>
        <c:ser>
          <c:idx val="1"/>
          <c:order val="1"/>
          <c:tx>
            <c:v>Forecast</c:v>
          </c:tx>
          <c:val>
            <c:numRef>
              <c:f>'Exponential Smoothing'!$C$5:$C$15</c:f>
              <c:numCache>
                <c:formatCode>_-* #,##0_-;\-* #,##0_-;_-* "-"??_-;_-@</c:formatCode>
                <c:ptCount val="11"/>
                <c:pt idx="0" formatCode="General">
                  <c:v>#N/A</c:v>
                </c:pt>
                <c:pt idx="1">
                  <c:v>34000</c:v>
                </c:pt>
                <c:pt idx="2" formatCode="_-* #,##0_-;\-* #,##0_-;_-* &quot;-&quot;?_-;_-@_-">
                  <c:v>36700</c:v>
                </c:pt>
                <c:pt idx="3" formatCode="_-* #,##0_-;\-* #,##0_-;_-* &quot;-&quot;?_-;_-@_-">
                  <c:v>43270</c:v>
                </c:pt>
                <c:pt idx="4" formatCode="_-* #,##0_-;\-* #,##0_-;_-* &quot;-&quot;?_-;_-@_-">
                  <c:v>46627</c:v>
                </c:pt>
                <c:pt idx="5" formatCode="_-* #,##0.0_-;\-* #,##0.0_-;_-* &quot;-&quot;?_-;_-@_-">
                  <c:v>47862.7</c:v>
                </c:pt>
                <c:pt idx="6" formatCode="_-* #,##0.00_-;\-* #,##0.00_-;_-* &quot;-&quot;?_-;_-@_-">
                  <c:v>47986.27</c:v>
                </c:pt>
                <c:pt idx="7" formatCode="_-* #,##0.000_-;\-* #,##0.000_-;_-* &quot;-&quot;?_-;_-@_-">
                  <c:v>46198.627</c:v>
                </c:pt>
                <c:pt idx="8" formatCode="_-* #,##0.0000_-;\-* #,##0.0000_-;_-* &quot;-&quot;?_-;_-@_-">
                  <c:v>43319.862699999998</c:v>
                </c:pt>
                <c:pt idx="9" formatCode="_-* #,##0.00000_-;\-* #,##0.00000_-;_-* &quot;-&quot;?_-;_-@_-">
                  <c:v>33131.986270000001</c:v>
                </c:pt>
                <c:pt idx="10" formatCode="_-* #,##0.00000_-;\-* #,##0.00000_-;_-* &quot;-&quot;?_-;_-@_-">
                  <c:v>27613.198627000002</c:v>
                </c:pt>
              </c:numCache>
            </c:numRef>
          </c:val>
          <c:smooth val="0"/>
          <c:extLst>
            <c:ext xmlns:c16="http://schemas.microsoft.com/office/drawing/2014/chart" uri="{C3380CC4-5D6E-409C-BE32-E72D297353CC}">
              <c16:uniqueId val="{00000002-E5C8-453B-9969-B5CE23CE35CF}"/>
            </c:ext>
          </c:extLst>
        </c:ser>
        <c:dLbls>
          <c:showLegendKey val="0"/>
          <c:showVal val="0"/>
          <c:showCatName val="0"/>
          <c:showSerName val="0"/>
          <c:showPercent val="0"/>
          <c:showBubbleSize val="0"/>
        </c:dLbls>
        <c:marker val="1"/>
        <c:smooth val="0"/>
        <c:axId val="2091063600"/>
        <c:axId val="2091059760"/>
      </c:lineChart>
      <c:catAx>
        <c:axId val="2091063600"/>
        <c:scaling>
          <c:orientation val="minMax"/>
        </c:scaling>
        <c:delete val="0"/>
        <c:axPos val="b"/>
        <c:majorTickMark val="out"/>
        <c:minorTickMark val="none"/>
        <c:tickLblPos val="nextTo"/>
        <c:crossAx val="2091059760"/>
        <c:crosses val="autoZero"/>
        <c:auto val="1"/>
        <c:lblAlgn val="ctr"/>
        <c:lblOffset val="100"/>
        <c:noMultiLvlLbl val="0"/>
      </c:catAx>
      <c:valAx>
        <c:axId val="2091059760"/>
        <c:scaling>
          <c:orientation val="minMax"/>
        </c:scaling>
        <c:delete val="0"/>
        <c:axPos val="l"/>
        <c:numFmt formatCode="_-* #,##0_-;\-* #,##0_-;_-* &quot;-&quot;??_-;_-@" sourceLinked="1"/>
        <c:majorTickMark val="out"/>
        <c:minorTickMark val="none"/>
        <c:tickLblPos val="nextTo"/>
        <c:crossAx val="209106360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a:t>
            </a:r>
            <a:r>
              <a:rPr lang="en-US" baseline="0"/>
              <a:t> SALES</a:t>
            </a:r>
            <a:endParaRPr lang="en-US"/>
          </a:p>
        </c:rich>
      </c:tx>
      <c:layout>
        <c:manualLayout>
          <c:xMode val="edge"/>
          <c:yMode val="edge"/>
          <c:x val="0.34717536543109984"/>
          <c:y val="3.0911901081916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'Simple Linear Regression'!$D$4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'Simple Linear Regression'!$C$5:$C$16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'Simple Linear Regression'!$D$5:$D$16</c:f>
              <c:numCache>
                <c:formatCode>_-* #,##0_-;\-* #,##0_-;_-* "-"??_-;_-@</c:formatCode>
                <c:ptCount val="12"/>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63EB-4AAE-A3A5-EC1AB9AAE214}"/>
            </c:ext>
          </c:extLst>
        </c:ser>
        <c:dLbls>
          <c:showLegendKey val="0"/>
          <c:showVal val="0"/>
          <c:showCatName val="0"/>
          <c:showSerName val="0"/>
          <c:showPercent val="0"/>
          <c:showBubbleSize val="0"/>
        </c:dLbls>
        <c:marker val="1"/>
        <c:smooth val="0"/>
        <c:axId val="2022347856"/>
        <c:axId val="2022349776"/>
      </c:lineChart>
      <c:catAx>
        <c:axId val="20223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2349776"/>
        <c:crosses val="autoZero"/>
        <c:auto val="1"/>
        <c:lblAlgn val="ctr"/>
        <c:lblOffset val="100"/>
        <c:noMultiLvlLbl val="0"/>
      </c:catAx>
      <c:valAx>
        <c:axId val="20223497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234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WITHOUT SEASONAITY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'Simple Linear Regression'!$D$4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'Simple Linear Regression'!$C$5:$C$16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'Simple Linear Regression'!$D$5:$D$16</c:f>
              <c:numCache>
                <c:formatCode>_-* #,##0_-;\-* #,##0_-;_-* "-"??_-;_-@</c:formatCode>
                <c:ptCount val="12"/>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E91D-4A67-9578-B216D38E96A2}"/>
            </c:ext>
          </c:extLst>
        </c:ser>
        <c:ser>
          <c:idx val="1"/>
          <c:order val="1"/>
          <c:tx>
            <c:strRef>
              <c:f>'Simple Linear Regression'!$E$4</c:f>
              <c:strCache>
                <c:ptCount val="1"/>
                <c:pt idx="0">
                  <c:v>Forecast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'Simple Linear Regression'!$C$5:$C$16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'Simple Linear Regression'!$E$5:$E$16</c:f>
              <c:numCache>
                <c:formatCode>_-* #,##0_-;\-* #,##0_-;_-* "-"??_-;_-@</c:formatCode>
                <c:ptCount val="12"/>
                <c:pt idx="0">
                  <c:v>46076.923076923078</c:v>
                </c:pt>
                <c:pt idx="1">
                  <c:v>44608.391608391605</c:v>
                </c:pt>
                <c:pt idx="2">
                  <c:v>43139.860139860139</c:v>
                </c:pt>
                <c:pt idx="3">
                  <c:v>41671.328671328672</c:v>
                </c:pt>
                <c:pt idx="4">
                  <c:v>40202.797202797199</c:v>
                </c:pt>
                <c:pt idx="5">
                  <c:v>38734.265734265733</c:v>
                </c:pt>
                <c:pt idx="6">
                  <c:v>37265.734265734267</c:v>
                </c:pt>
                <c:pt idx="7">
                  <c:v>35797.202797202794</c:v>
                </c:pt>
                <c:pt idx="8">
                  <c:v>34328.671328671328</c:v>
                </c:pt>
                <c:pt idx="9">
                  <c:v>32860.139860139854</c:v>
                </c:pt>
                <c:pt idx="10">
                  <c:v>31391.608391608388</c:v>
                </c:pt>
                <c:pt idx="11">
                  <c:v>29923.076923076922</c:v>
                </c:pt>
              </c:numCache>
            </c:numRef>
          </c:val>
          <c:smooth val="0"/>
          <c:extLst>
            <c:ext xmlns:c16="http://schemas.microsoft.com/office/drawing/2014/chart" uri="{C3380CC4-5D6E-409C-BE32-E72D297353CC}">
              <c16:uniqueId val="{00000001-E91D-4A67-9578-B216D38E96A2}"/>
            </c:ext>
          </c:extLst>
        </c:ser>
        <c:dLbls>
          <c:showLegendKey val="0"/>
          <c:showVal val="0"/>
          <c:showCatName val="0"/>
          <c:showSerName val="0"/>
          <c:showPercent val="0"/>
          <c:showBubbleSize val="0"/>
        </c:dLbls>
        <c:marker val="1"/>
        <c:smooth val="0"/>
        <c:axId val="152258784"/>
        <c:axId val="152259744"/>
      </c:lineChart>
      <c:catAx>
        <c:axId val="1522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259744"/>
        <c:crosses val="autoZero"/>
        <c:auto val="1"/>
        <c:lblAlgn val="ctr"/>
        <c:lblOffset val="100"/>
        <c:noMultiLvlLbl val="0"/>
      </c:catAx>
      <c:valAx>
        <c:axId val="15225974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25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WITH 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'Simple Linear Regression'!$D$4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'Simple Linear Regression'!$C$5:$C$16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'Simple Linear Regression'!$D$5:$D$16</c:f>
              <c:numCache>
                <c:formatCode>_-* #,##0_-;\-* #,##0_-;_-* "-"??_-;_-@</c:formatCode>
                <c:ptCount val="12"/>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0105-49C8-8860-9F0FF62EDDB6}"/>
            </c:ext>
          </c:extLst>
        </c:ser>
        <c:ser>
          <c:idx val="1"/>
          <c:order val="1"/>
          <c:tx>
            <c:strRef>
              <c:f>'Simple Linear Regression'!$E$4</c:f>
              <c:strCache>
                <c:ptCount val="1"/>
                <c:pt idx="0">
                  <c:v>Forecast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'Simple Linear Regression'!$C$5:$C$16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'Simple Linear Regression'!$E$5:$E$16</c:f>
              <c:numCache>
                <c:formatCode>_-* #,##0_-;\-* #,##0_-;_-* "-"??_-;_-@</c:formatCode>
                <c:ptCount val="12"/>
                <c:pt idx="0">
                  <c:v>46076.923076923078</c:v>
                </c:pt>
                <c:pt idx="1">
                  <c:v>44608.391608391605</c:v>
                </c:pt>
                <c:pt idx="2">
                  <c:v>43139.860139860139</c:v>
                </c:pt>
                <c:pt idx="3">
                  <c:v>41671.328671328672</c:v>
                </c:pt>
                <c:pt idx="4">
                  <c:v>40202.797202797199</c:v>
                </c:pt>
                <c:pt idx="5">
                  <c:v>38734.265734265733</c:v>
                </c:pt>
                <c:pt idx="6">
                  <c:v>37265.734265734267</c:v>
                </c:pt>
                <c:pt idx="7">
                  <c:v>35797.202797202794</c:v>
                </c:pt>
                <c:pt idx="8">
                  <c:v>34328.671328671328</c:v>
                </c:pt>
                <c:pt idx="9">
                  <c:v>32860.139860139854</c:v>
                </c:pt>
                <c:pt idx="10">
                  <c:v>31391.608391608388</c:v>
                </c:pt>
                <c:pt idx="11">
                  <c:v>29923.076923076922</c:v>
                </c:pt>
              </c:numCache>
            </c:numRef>
          </c:val>
          <c:smooth val="0"/>
          <c:extLst>
            <c:ext xmlns:c16="http://schemas.microsoft.com/office/drawing/2014/chart" uri="{C3380CC4-5D6E-409C-BE32-E72D297353CC}">
              <c16:uniqueId val="{00000001-0105-49C8-8860-9F0FF62EDDB6}"/>
            </c:ext>
          </c:extLst>
        </c:ser>
        <c:ser>
          <c:idx val="2"/>
          <c:order val="2"/>
          <c:tx>
            <c:strRef>
              <c:f>'Simple Linear Regression'!$G$4</c:f>
              <c:strCache>
                <c:ptCount val="1"/>
                <c:pt idx="0">
                  <c:v>Linear trend (forecasted)* seasonality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'Simple Linear Regression'!$C$5:$C$16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'Simple Linear Regression'!$G$5:$G$16</c:f>
              <c:numCache>
                <c:formatCode>_-* #,##0_-;\-* #,##0_-;_-* "-"??_-;_-@</c:formatCode>
                <c:ptCount val="12"/>
                <c:pt idx="0">
                  <c:v>41226.720647773283</c:v>
                </c:pt>
                <c:pt idx="1">
                  <c:v>43434.486566065512</c:v>
                </c:pt>
                <c:pt idx="2">
                  <c:v>49951.417004048584</c:v>
                </c:pt>
                <c:pt idx="3">
                  <c:v>51540.853882959149</c:v>
                </c:pt>
                <c:pt idx="4">
                  <c:v>50782.480677217514</c:v>
                </c:pt>
                <c:pt idx="5">
                  <c:v>48927.4935590725</c:v>
                </c:pt>
                <c:pt idx="6">
                  <c:v>45111.152005888849</c:v>
                </c:pt>
                <c:pt idx="7">
                  <c:v>40507.361059992632</c:v>
                </c:pt>
                <c:pt idx="8">
                  <c:v>28908.354803091643</c:v>
                </c:pt>
                <c:pt idx="9">
                  <c:v>23347.994111152002</c:v>
                </c:pt>
                <c:pt idx="10">
                  <c:v>21478.468899521529</c:v>
                </c:pt>
                <c:pt idx="11">
                  <c:v>18898.785425101214</c:v>
                </c:pt>
              </c:numCache>
            </c:numRef>
          </c:val>
          <c:smooth val="0"/>
          <c:extLst>
            <c:ext xmlns:c16="http://schemas.microsoft.com/office/drawing/2014/chart" uri="{C3380CC4-5D6E-409C-BE32-E72D297353CC}">
              <c16:uniqueId val="{00000002-0105-49C8-8860-9F0FF62EDDB6}"/>
            </c:ext>
          </c:extLst>
        </c:ser>
        <c:dLbls>
          <c:showLegendKey val="0"/>
          <c:showVal val="0"/>
          <c:showCatName val="0"/>
          <c:showSerName val="0"/>
          <c:showPercent val="0"/>
          <c:showBubbleSize val="0"/>
        </c:dLbls>
        <c:marker val="1"/>
        <c:smooth val="0"/>
        <c:axId val="1862387152"/>
        <c:axId val="1862381392"/>
      </c:lineChart>
      <c:catAx>
        <c:axId val="18623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62381392"/>
        <c:crosses val="autoZero"/>
        <c:auto val="1"/>
        <c:lblAlgn val="ctr"/>
        <c:lblOffset val="100"/>
        <c:noMultiLvlLbl val="0"/>
      </c:catAx>
      <c:valAx>
        <c:axId val="18623813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62387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Sheet3!$B$1</c:f>
              <c:strCache>
                <c:ptCount val="1"/>
                <c:pt idx="0">
                  <c:v>Sales</c:v>
                </c:pt>
              </c:strCache>
            </c:strRef>
          </c:tx>
          <c:spPr>
            <a:ln w="28575" cap="rnd">
              <a:solidFill>
                <a:schemeClr val="accent1"/>
              </a:solidFill>
              <a:round/>
            </a:ln>
            <a:effectLst/>
          </c:spPr>
          <c:marker>
            <c:symbol val="none"/>
          </c:marker>
          <c:val>
            <c:numRef>
              <c:f>Sheet3!$B$2:$B$16</c:f>
              <c:numCache>
                <c:formatCode>_-* #,##0_-;\-* #,##0_-;_-* "-"??_-;_-@</c:formatCode>
                <c:ptCount val="15"/>
                <c:pt idx="0">
                  <c:v>34000</c:v>
                </c:pt>
                <c:pt idx="1">
                  <c:v>37000</c:v>
                </c:pt>
                <c:pt idx="2">
                  <c:v>44000</c:v>
                </c:pt>
                <c:pt idx="3">
                  <c:v>47000</c:v>
                </c:pt>
                <c:pt idx="4">
                  <c:v>48000</c:v>
                </c:pt>
                <c:pt idx="5">
                  <c:v>48000</c:v>
                </c:pt>
                <c:pt idx="6">
                  <c:v>46000</c:v>
                </c:pt>
                <c:pt idx="7">
                  <c:v>43000</c:v>
                </c:pt>
                <c:pt idx="8">
                  <c:v>32000</c:v>
                </c:pt>
                <c:pt idx="9">
                  <c:v>27000</c:v>
                </c:pt>
                <c:pt idx="10">
                  <c:v>26000</c:v>
                </c:pt>
                <c:pt idx="11">
                  <c:v>24000</c:v>
                </c:pt>
              </c:numCache>
            </c:numRef>
          </c:val>
          <c:smooth val="0"/>
          <c:extLst>
            <c:ext xmlns:c16="http://schemas.microsoft.com/office/drawing/2014/chart" uri="{C3380CC4-5D6E-409C-BE32-E72D297353CC}">
              <c16:uniqueId val="{00000000-5E39-487C-8BA1-F4EC34047597}"/>
            </c:ext>
          </c:extLst>
        </c:ser>
        <c:ser>
          <c:idx val="1"/>
          <c:order val="1"/>
          <c:tx>
            <c:strRef>
              <c:f>Sheet3!$C$1</c:f>
              <c:strCache>
                <c:ptCount val="1"/>
                <c:pt idx="0">
                  <c:v>Forecast(Sales)</c:v>
                </c:pt>
              </c:strCache>
            </c:strRef>
          </c:tx>
          <c:spPr>
            <a:ln w="25400" cap="rnd">
              <a:solidFill>
                <a:schemeClr val="accent2"/>
              </a:solidFill>
              <a:round/>
            </a:ln>
            <a:effectLst/>
          </c:spPr>
          <c:marker>
            <c:symbol val="none"/>
          </c:marker>
          <c:cat>
            <c:numRef>
              <c:f>Sheet3!$A$2:$A$16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Sheet3!$C$2:$C$16</c:f>
              <c:numCache>
                <c:formatCode>General</c:formatCode>
                <c:ptCount val="15"/>
                <c:pt idx="11" formatCode="_-* #,##0_-;\-* #,##0_-;_-* &quot;-&quot;??_-;_-@">
                  <c:v>24000</c:v>
                </c:pt>
                <c:pt idx="12" formatCode="_-* #,##0_-;\-* #,##0_-;_-* &quot;-&quot;??_-;_-@">
                  <c:v>22631.983687661588</c:v>
                </c:pt>
                <c:pt idx="13" formatCode="_-* #,##0_-;\-* #,##0_-;_-* &quot;-&quot;??_-;_-@">
                  <c:v>21233.710196511893</c:v>
                </c:pt>
                <c:pt idx="14" formatCode="_-* #,##0_-;\-* #,##0_-;_-* &quot;-&quot;??_-;_-@">
                  <c:v>19835.436705362197</c:v>
                </c:pt>
              </c:numCache>
            </c:numRef>
          </c:val>
          <c:smooth val="0"/>
          <c:extLst>
            <c:ext xmlns:c16="http://schemas.microsoft.com/office/drawing/2014/chart" uri="{C3380CC4-5D6E-409C-BE32-E72D297353CC}">
              <c16:uniqueId val="{00000001-5E39-487C-8BA1-F4EC34047597}"/>
            </c:ext>
          </c:extLst>
        </c:ser>
        <c:ser>
          <c:idx val="2"/>
          <c:order val="2"/>
          <c:tx>
            <c:strRef>
              <c:f>Sheet3!$D$1</c:f>
              <c:strCache>
                <c:ptCount val="1"/>
                <c:pt idx="0">
                  <c:v>Lower Confidence Bound(Sales)</c:v>
                </c:pt>
              </c:strCache>
            </c:strRef>
          </c:tx>
          <c:spPr>
            <a:ln w="12700" cap="rnd">
              <a:solidFill>
                <a:srgbClr val="ED7D31"/>
              </a:solidFill>
              <a:prstDash val="solid"/>
              <a:round/>
            </a:ln>
            <a:effectLst/>
          </c:spPr>
          <c:marker>
            <c:symbol val="none"/>
          </c:marker>
          <c:cat>
            <c:numRef>
              <c:f>Sheet3!$A$2:$A$16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Sheet3!$D$2:$D$16</c:f>
              <c:numCache>
                <c:formatCode>General</c:formatCode>
                <c:ptCount val="15"/>
                <c:pt idx="11" formatCode="_-* #,##0_-;\-* #,##0_-;_-* &quot;-&quot;??_-;_-@">
                  <c:v>24000</c:v>
                </c:pt>
                <c:pt idx="12" formatCode="_-* #,##0_-;\-* #,##0_-;_-* &quot;-&quot;??_-;_-@">
                  <c:v>14810.469164882088</c:v>
                </c:pt>
                <c:pt idx="13" formatCode="_-* #,##0_-;\-* #,##0_-;_-* &quot;-&quot;??_-;_-@">
                  <c:v>5135.0628484408116</c:v>
                </c:pt>
                <c:pt idx="14" formatCode="_-* #,##0_-;\-* #,##0_-;_-* &quot;-&quot;??_-;_-@">
                  <c:v>-6706.5994132391497</c:v>
                </c:pt>
              </c:numCache>
            </c:numRef>
          </c:val>
          <c:smooth val="0"/>
          <c:extLst>
            <c:ext xmlns:c16="http://schemas.microsoft.com/office/drawing/2014/chart" uri="{C3380CC4-5D6E-409C-BE32-E72D297353CC}">
              <c16:uniqueId val="{00000002-5E39-487C-8BA1-F4EC34047597}"/>
            </c:ext>
          </c:extLst>
        </c:ser>
        <c:ser>
          <c:idx val="3"/>
          <c:order val="3"/>
          <c:tx>
            <c:strRef>
              <c:f>Sheet3!$E$1</c:f>
              <c:strCache>
                <c:ptCount val="1"/>
                <c:pt idx="0">
                  <c:v>Upper Confidence Bound(Sales)</c:v>
                </c:pt>
              </c:strCache>
            </c:strRef>
          </c:tx>
          <c:spPr>
            <a:ln w="12700" cap="rnd">
              <a:solidFill>
                <a:srgbClr val="ED7D31"/>
              </a:solidFill>
              <a:prstDash val="solid"/>
              <a:round/>
            </a:ln>
            <a:effectLst/>
          </c:spPr>
          <c:marker>
            <c:symbol val="none"/>
          </c:marker>
          <c:cat>
            <c:numRef>
              <c:f>Sheet3!$A$2:$A$16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Sheet3!$E$2:$E$16</c:f>
              <c:numCache>
                <c:formatCode>General</c:formatCode>
                <c:ptCount val="15"/>
                <c:pt idx="11" formatCode="_-* #,##0_-;\-* #,##0_-;_-* &quot;-&quot;??_-;_-@">
                  <c:v>24000</c:v>
                </c:pt>
                <c:pt idx="12" formatCode="_-* #,##0_-;\-* #,##0_-;_-* &quot;-&quot;??_-;_-@">
                  <c:v>30453.498210441088</c:v>
                </c:pt>
                <c:pt idx="13" formatCode="_-* #,##0_-;\-* #,##0_-;_-* &quot;-&quot;??_-;_-@">
                  <c:v>37332.357544582977</c:v>
                </c:pt>
                <c:pt idx="14" formatCode="_-* #,##0_-;\-* #,##0_-;_-* &quot;-&quot;??_-;_-@">
                  <c:v>46377.472823963544</c:v>
                </c:pt>
              </c:numCache>
            </c:numRef>
          </c:val>
          <c:smooth val="0"/>
          <c:extLst>
            <c:ext xmlns:c16="http://schemas.microsoft.com/office/drawing/2014/chart" uri="{C3380CC4-5D6E-409C-BE32-E72D297353CC}">
              <c16:uniqueId val="{00000003-5E39-487C-8BA1-F4EC34047597}"/>
            </c:ext>
          </c:extLst>
        </c:ser>
        <c:dLbls>
          <c:showLegendKey val="0"/>
          <c:showVal val="0"/>
          <c:showCatName val="0"/>
          <c:showSerName val="0"/>
          <c:showPercent val="0"/>
          <c:showBubbleSize val="0"/>
        </c:dLbls>
        <c:smooth val="0"/>
        <c:axId val="148049264"/>
        <c:axId val="148046384"/>
      </c:lineChart>
      <c:catAx>
        <c:axId val="14804926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046384"/>
        <c:crosses val="autoZero"/>
        <c:auto val="1"/>
        <c:lblAlgn val="ctr"/>
        <c:lblOffset val="100"/>
        <c:noMultiLvlLbl val="0"/>
      </c:catAx>
      <c:valAx>
        <c:axId val="1480463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049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975360</xdr:colOff>
      <xdr:row>16</xdr:row>
      <xdr:rowOff>171450</xdr:rowOff>
    </xdr:from>
    <xdr:to>
      <xdr:col>12</xdr:col>
      <xdr:colOff>586740</xdr:colOff>
      <xdr:row>32</xdr:row>
      <xdr:rowOff>144780</xdr:rowOff>
    </xdr:to>
    <xdr:graphicFrame macro="">
      <xdr:nvGraphicFramePr>
        <xdr:cNvPr id="2" name="Chart 1">
          <a:extLst>
            <a:ext uri="{FF2B5EF4-FFF2-40B4-BE49-F238E27FC236}">
              <a16:creationId xmlns:a16="http://schemas.microsoft.com/office/drawing/2014/main" id="{B5727E46-847D-0B9F-8905-E98304ECD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19</xdr:row>
      <xdr:rowOff>11430</xdr:rowOff>
    </xdr:from>
    <xdr:to>
      <xdr:col>12</xdr:col>
      <xdr:colOff>121920</xdr:colOff>
      <xdr:row>34</xdr:row>
      <xdr:rowOff>125730</xdr:rowOff>
    </xdr:to>
    <xdr:graphicFrame macro="">
      <xdr:nvGraphicFramePr>
        <xdr:cNvPr id="2" name="Chart 1">
          <a:extLst>
            <a:ext uri="{FF2B5EF4-FFF2-40B4-BE49-F238E27FC236}">
              <a16:creationId xmlns:a16="http://schemas.microsoft.com/office/drawing/2014/main" id="{7CF88A90-0AA9-EC70-71CE-604304254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632460</xdr:colOff>
      <xdr:row>37</xdr:row>
      <xdr:rowOff>68580</xdr:rowOff>
    </xdr:from>
    <xdr:to>
      <xdr:col>10</xdr:col>
      <xdr:colOff>53340</xdr:colOff>
      <xdr:row>52</xdr:row>
      <xdr:rowOff>83820</xdr:rowOff>
    </xdr:to>
    <xdr:graphicFrame macro="">
      <xdr:nvGraphicFramePr>
        <xdr:cNvPr id="3" name="Chart 2">
          <a:extLst>
            <a:ext uri="{FF2B5EF4-FFF2-40B4-BE49-F238E27FC236}">
              <a16:creationId xmlns:a16="http://schemas.microsoft.com/office/drawing/2014/main" id="{6D837E7E-91E4-3E28-D05A-3E6A2A683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198120</xdr:colOff>
      <xdr:row>37</xdr:row>
      <xdr:rowOff>41910</xdr:rowOff>
    </xdr:from>
    <xdr:to>
      <xdr:col>20</xdr:col>
      <xdr:colOff>15240</xdr:colOff>
      <xdr:row>52</xdr:row>
      <xdr:rowOff>156210</xdr:rowOff>
    </xdr:to>
    <xdr:graphicFrame macro="">
      <xdr:nvGraphicFramePr>
        <xdr:cNvPr id="5" name="Chart 4">
          <a:extLst>
            <a:ext uri="{FF2B5EF4-FFF2-40B4-BE49-F238E27FC236}">
              <a16:creationId xmlns:a16="http://schemas.microsoft.com/office/drawing/2014/main" id="{744FF331-A6D0-6475-358D-8A2D12067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182880</xdr:colOff>
      <xdr:row>25</xdr:row>
      <xdr:rowOff>45720</xdr:rowOff>
    </xdr:from>
    <xdr:to>
      <xdr:col>15</xdr:col>
      <xdr:colOff>144780</xdr:colOff>
      <xdr:row>35</xdr:row>
      <xdr:rowOff>45720</xdr:rowOff>
    </xdr:to>
    <xdr:graphicFrame macro="">
      <xdr:nvGraphicFramePr>
        <xdr:cNvPr id="6" name="Chart 5">
          <a:extLst>
            <a:ext uri="{FF2B5EF4-FFF2-40B4-BE49-F238E27FC236}">
              <a16:creationId xmlns:a16="http://schemas.microsoft.com/office/drawing/2014/main" id="{F8FC8AB7-9F7E-5668-42AE-D21CB7054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655320</xdr:colOff>
      <xdr:row>20</xdr:row>
      <xdr:rowOff>15240</xdr:rowOff>
    </xdr:from>
    <xdr:to>
      <xdr:col>6</xdr:col>
      <xdr:colOff>312420</xdr:colOff>
      <xdr:row>34</xdr:row>
      <xdr:rowOff>26670</xdr:rowOff>
    </xdr:to>
    <xdr:graphicFrame macro="">
      <xdr:nvGraphicFramePr>
        <xdr:cNvPr id="2" name="Chart 1">
          <a:extLst>
            <a:ext uri="{FF2B5EF4-FFF2-40B4-BE49-F238E27FC236}">
              <a16:creationId xmlns:a16="http://schemas.microsoft.com/office/drawing/2014/main" id="{4C79997B-7902-3E53-6EE0-A3E6D16A5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91440</xdr:colOff>
      <xdr:row>20</xdr:row>
      <xdr:rowOff>125730</xdr:rowOff>
    </xdr:from>
    <xdr:to>
      <xdr:col>13</xdr:col>
      <xdr:colOff>1143000</xdr:colOff>
      <xdr:row>36</xdr:row>
      <xdr:rowOff>64770</xdr:rowOff>
    </xdr:to>
    <xdr:graphicFrame macro="">
      <xdr:nvGraphicFramePr>
        <xdr:cNvPr id="3" name="Chart 2">
          <a:extLst>
            <a:ext uri="{FF2B5EF4-FFF2-40B4-BE49-F238E27FC236}">
              <a16:creationId xmlns:a16="http://schemas.microsoft.com/office/drawing/2014/main" id="{2E08E34E-617B-5B7A-4A01-688619FBF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213360</xdr:colOff>
      <xdr:row>20</xdr:row>
      <xdr:rowOff>171450</xdr:rowOff>
    </xdr:from>
    <xdr:to>
      <xdr:col>9</xdr:col>
      <xdr:colOff>175260</xdr:colOff>
      <xdr:row>36</xdr:row>
      <xdr:rowOff>110490</xdr:rowOff>
    </xdr:to>
    <xdr:graphicFrame macro="">
      <xdr:nvGraphicFramePr>
        <xdr:cNvPr id="4" name="Chart 3">
          <a:extLst>
            <a:ext uri="{FF2B5EF4-FFF2-40B4-BE49-F238E27FC236}">
              <a16:creationId xmlns:a16="http://schemas.microsoft.com/office/drawing/2014/main" id="{0E713D41-4C4B-5972-C692-1902EDEAD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1219200</xdr:colOff>
      <xdr:row>18</xdr:row>
      <xdr:rowOff>26670</xdr:rowOff>
    </xdr:from>
    <xdr:to>
      <xdr:col>12</xdr:col>
      <xdr:colOff>558165</xdr:colOff>
      <xdr:row>38</xdr:row>
      <xdr:rowOff>36195</xdr:rowOff>
    </xdr:to>
    <xdr:graphicFrame macro="">
      <xdr:nvGraphicFramePr>
        <xdr:cNvPr id="2" name="Chart 1">
          <a:extLst>
            <a:ext uri="{FF2B5EF4-FFF2-40B4-BE49-F238E27FC236}">
              <a16:creationId xmlns:a16="http://schemas.microsoft.com/office/drawing/2014/main" id="{2AA622FD-58FD-3D7E-05EF-131640B72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A8E1DA-D033-4C3B-B3D1-43FD9C030879}" name="Table1" displayName="Table1" ref="A1:E16" totalsRowShown="0">
  <autoFilter ref="A1:E16" xr:uid="{67A8E1DA-D033-4C3B-B3D1-43FD9C030879}"/>
  <tableColumns count="5">
    <tableColumn id="1" xr3:uid="{B2237EC1-8646-4765-9C4C-93E80DE44617}" name="Period"/>
    <tableColumn id="2" xr3:uid="{DAE3F798-7C93-48EB-A95B-7519624B68E1}" name="Sales"/>
    <tableColumn id="3" xr3:uid="{2DEA2DD5-106D-459F-AB74-D18F4303F1D3}" name="Forecast(Sales)" dataDxfId="2"/>
    <tableColumn id="4" xr3:uid="{0AFF1743-43B4-428B-8498-0C530FF98F39}" name="Lower Confidence Bound(Sales)" dataDxfId="1"/>
    <tableColumn id="5" xr3:uid="{0C619915-BCD2-460B-8695-27C9D31E6575}" name="Upper Confidence Bound(Sale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8" sqref="B18"/>
    </sheetView>
  </sheetViews>
  <sheetFormatPr defaultColWidth="14.44140625" defaultRowHeight="15" customHeight="1" x14ac:dyDescent="0.3"/>
  <cols>
    <col min="1" max="1" width="13" customWidth="1"/>
    <col min="2" max="2" width="10.109375" customWidth="1"/>
    <col min="3" max="3" width="14.5546875" customWidth="1"/>
    <col min="4" max="4" width="12.77734375" customWidth="1"/>
    <col min="5" max="5" width="13" customWidth="1"/>
    <col min="6" max="6" width="12.5546875" customWidth="1"/>
    <col min="7" max="7" width="14.88671875" customWidth="1"/>
    <col min="8" max="8" width="8.6640625" customWidth="1"/>
    <col min="9" max="9" width="14.109375" customWidth="1"/>
    <col min="10" max="10" width="11.109375" customWidth="1"/>
    <col min="11" max="11" width="11.44140625" customWidth="1"/>
    <col min="12" max="26" width="8.6640625" customWidth="1"/>
  </cols>
  <sheetData>
    <row r="1" spans="1:26" ht="14.25" customHeight="1" x14ac:dyDescent="0.3">
      <c r="A1" s="1" t="s">
        <v>0</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2" t="s">
        <v>1</v>
      </c>
      <c r="B2" s="2"/>
      <c r="C2" s="2"/>
      <c r="D2" s="2" t="s">
        <v>76</v>
      </c>
      <c r="E2" s="2"/>
      <c r="F2" s="2"/>
      <c r="G2" s="2"/>
      <c r="H2" s="2"/>
      <c r="I2" s="2"/>
      <c r="J2" s="2"/>
      <c r="K2" s="2"/>
      <c r="L2" s="2"/>
      <c r="M2" s="2"/>
      <c r="N2" s="2"/>
      <c r="O2" s="2"/>
      <c r="P2" s="2"/>
      <c r="Q2" s="2"/>
      <c r="R2" s="2"/>
      <c r="S2" s="2"/>
      <c r="T2" s="2"/>
      <c r="U2" s="2"/>
      <c r="V2" s="2"/>
      <c r="W2" s="2"/>
      <c r="X2" s="2"/>
      <c r="Y2" s="2"/>
      <c r="Z2" s="2"/>
    </row>
    <row r="3" spans="1:26" ht="14.25" customHeight="1" x14ac:dyDescent="0.3">
      <c r="D3" s="20" t="s">
        <v>77</v>
      </c>
    </row>
    <row r="4" spans="1:26" ht="14.25" customHeight="1" x14ac:dyDescent="0.3">
      <c r="A4" s="3" t="s">
        <v>2</v>
      </c>
      <c r="B4" s="3" t="s">
        <v>3</v>
      </c>
      <c r="C4" s="20" t="s">
        <v>78</v>
      </c>
      <c r="D4" s="20" t="s">
        <v>79</v>
      </c>
      <c r="E4" s="20" t="s">
        <v>81</v>
      </c>
      <c r="F4" s="21" t="s">
        <v>84</v>
      </c>
      <c r="G4" s="21" t="s">
        <v>86</v>
      </c>
      <c r="L4" s="20" t="s">
        <v>87</v>
      </c>
    </row>
    <row r="5" spans="1:26" ht="14.25" customHeight="1" x14ac:dyDescent="0.3">
      <c r="A5" s="4" t="s">
        <v>4</v>
      </c>
      <c r="B5" s="5">
        <v>34000</v>
      </c>
      <c r="D5" s="20" t="s">
        <v>80</v>
      </c>
      <c r="E5" s="6"/>
      <c r="G5" s="7"/>
      <c r="J5" s="22" t="s">
        <v>95</v>
      </c>
      <c r="K5" s="6"/>
    </row>
    <row r="6" spans="1:26" ht="14.25" customHeight="1" x14ac:dyDescent="0.3">
      <c r="A6" s="4" t="s">
        <v>5</v>
      </c>
      <c r="B6" s="5">
        <v>37000</v>
      </c>
      <c r="C6" s="6">
        <f>B5</f>
        <v>34000</v>
      </c>
      <c r="D6" s="6">
        <f>B6-C6</f>
        <v>3000</v>
      </c>
      <c r="E6" s="6">
        <f>ABS(D6)</f>
        <v>3000</v>
      </c>
      <c r="F6" s="6">
        <f>E6^2</f>
        <v>9000000</v>
      </c>
      <c r="G6" s="7">
        <f>E6/B6</f>
        <v>8.1081081081081086E-2</v>
      </c>
      <c r="I6" s="20" t="s">
        <v>94</v>
      </c>
      <c r="J6" s="9">
        <f>AVERAGE(E6:E16)</f>
        <v>3454.5454545454545</v>
      </c>
      <c r="K6" s="6" t="s">
        <v>93</v>
      </c>
      <c r="L6" s="20" t="s">
        <v>88</v>
      </c>
      <c r="M6" s="20" t="s">
        <v>91</v>
      </c>
    </row>
    <row r="7" spans="1:26" ht="49.2" customHeight="1" x14ac:dyDescent="0.3">
      <c r="A7" s="4" t="s">
        <v>6</v>
      </c>
      <c r="B7" s="5">
        <v>44000</v>
      </c>
      <c r="C7" s="6">
        <f t="shared" ref="C7:C16" si="0">B6</f>
        <v>37000</v>
      </c>
      <c r="D7" s="6">
        <f t="shared" ref="D7:D16" si="1">B7-C7</f>
        <v>7000</v>
      </c>
      <c r="E7" s="6">
        <f t="shared" ref="E7:E16" si="2">ABS(D7)</f>
        <v>7000</v>
      </c>
      <c r="F7" s="6">
        <f t="shared" ref="F7:F16" si="3">E7^2</f>
        <v>49000000</v>
      </c>
      <c r="G7" s="7">
        <f t="shared" ref="G7:G16" si="4">E7/B7</f>
        <v>0.15909090909090909</v>
      </c>
      <c r="H7" s="20" t="s">
        <v>97</v>
      </c>
      <c r="I7" s="8" t="s">
        <v>96</v>
      </c>
      <c r="J7" s="23">
        <f>AVERAGE(F6:F16)</f>
        <v>21090909.09090909</v>
      </c>
      <c r="K7" s="7"/>
      <c r="L7" s="20" t="s">
        <v>89</v>
      </c>
      <c r="M7" s="20" t="s">
        <v>92</v>
      </c>
    </row>
    <row r="8" spans="1:26" ht="14.25" customHeight="1" x14ac:dyDescent="0.3">
      <c r="A8" s="4" t="s">
        <v>7</v>
      </c>
      <c r="B8" s="5">
        <v>47000</v>
      </c>
      <c r="C8" s="6">
        <f t="shared" si="0"/>
        <v>44000</v>
      </c>
      <c r="D8" s="6">
        <f t="shared" si="1"/>
        <v>3000</v>
      </c>
      <c r="E8" s="6">
        <f t="shared" si="2"/>
        <v>3000</v>
      </c>
      <c r="F8" s="6">
        <f>E8^2</f>
        <v>9000000</v>
      </c>
      <c r="G8" s="7">
        <f t="shared" si="4"/>
        <v>6.3829787234042548E-2</v>
      </c>
      <c r="I8" s="8"/>
      <c r="J8" s="24">
        <f>AVERAGE(G6:G16)</f>
        <v>9.8982806404495763E-2</v>
      </c>
      <c r="L8" s="20" t="s">
        <v>90</v>
      </c>
      <c r="M8" s="20" t="s">
        <v>98</v>
      </c>
    </row>
    <row r="9" spans="1:26" ht="14.25" customHeight="1" x14ac:dyDescent="0.3">
      <c r="A9" s="4" t="s">
        <v>8</v>
      </c>
      <c r="B9" s="5">
        <v>48000</v>
      </c>
      <c r="C9" s="6">
        <f t="shared" si="0"/>
        <v>47000</v>
      </c>
      <c r="D9" s="6">
        <f t="shared" si="1"/>
        <v>1000</v>
      </c>
      <c r="E9" s="6">
        <f t="shared" si="2"/>
        <v>1000</v>
      </c>
      <c r="F9" s="6">
        <f t="shared" si="3"/>
        <v>1000000</v>
      </c>
      <c r="G9" s="7">
        <f t="shared" si="4"/>
        <v>2.0833333333333332E-2</v>
      </c>
      <c r="I9" s="8"/>
      <c r="J9" s="9"/>
    </row>
    <row r="10" spans="1:26" ht="14.25" customHeight="1" x14ac:dyDescent="0.3">
      <c r="A10" s="4" t="s">
        <v>9</v>
      </c>
      <c r="B10" s="5">
        <v>48000</v>
      </c>
      <c r="C10" s="6">
        <f t="shared" si="0"/>
        <v>48000</v>
      </c>
      <c r="D10" s="6">
        <f t="shared" si="1"/>
        <v>0</v>
      </c>
      <c r="E10" s="6">
        <f t="shared" si="2"/>
        <v>0</v>
      </c>
      <c r="F10" s="6">
        <f t="shared" si="3"/>
        <v>0</v>
      </c>
      <c r="G10" s="7">
        <f t="shared" si="4"/>
        <v>0</v>
      </c>
      <c r="I10" s="8" t="s">
        <v>105</v>
      </c>
      <c r="J10" s="10"/>
    </row>
    <row r="11" spans="1:26" ht="14.25" customHeight="1" x14ac:dyDescent="0.3">
      <c r="A11" s="4" t="s">
        <v>10</v>
      </c>
      <c r="B11" s="5">
        <v>46000</v>
      </c>
      <c r="C11" s="6">
        <f t="shared" si="0"/>
        <v>48000</v>
      </c>
      <c r="D11" s="6">
        <f t="shared" si="1"/>
        <v>-2000</v>
      </c>
      <c r="E11" s="6">
        <f t="shared" si="2"/>
        <v>2000</v>
      </c>
      <c r="F11" s="6">
        <f t="shared" si="3"/>
        <v>4000000</v>
      </c>
      <c r="G11" s="7">
        <f t="shared" si="4"/>
        <v>4.3478260869565216E-2</v>
      </c>
      <c r="I11" s="10"/>
      <c r="J11" s="8"/>
    </row>
    <row r="12" spans="1:26" ht="14.25" customHeight="1" x14ac:dyDescent="0.3">
      <c r="A12" s="4" t="s">
        <v>11</v>
      </c>
      <c r="B12" s="5">
        <v>43000</v>
      </c>
      <c r="C12" s="6">
        <f t="shared" si="0"/>
        <v>46000</v>
      </c>
      <c r="D12" s="6">
        <f t="shared" si="1"/>
        <v>-3000</v>
      </c>
      <c r="E12" s="6">
        <f t="shared" si="2"/>
        <v>3000</v>
      </c>
      <c r="F12" s="6">
        <f t="shared" si="3"/>
        <v>9000000</v>
      </c>
      <c r="G12" s="7">
        <f t="shared" si="4"/>
        <v>6.9767441860465115E-2</v>
      </c>
    </row>
    <row r="13" spans="1:26" ht="14.25" customHeight="1" x14ac:dyDescent="0.3">
      <c r="A13" s="4" t="s">
        <v>12</v>
      </c>
      <c r="B13" s="5">
        <v>32000</v>
      </c>
      <c r="C13" s="6">
        <f t="shared" si="0"/>
        <v>43000</v>
      </c>
      <c r="D13" s="6">
        <f t="shared" si="1"/>
        <v>-11000</v>
      </c>
      <c r="E13" s="6">
        <f t="shared" si="2"/>
        <v>11000</v>
      </c>
      <c r="F13" s="6">
        <f t="shared" si="3"/>
        <v>121000000</v>
      </c>
      <c r="G13" s="7">
        <f t="shared" si="4"/>
        <v>0.34375</v>
      </c>
      <c r="I13" s="8"/>
      <c r="J13" s="10" t="s">
        <v>99</v>
      </c>
    </row>
    <row r="14" spans="1:26" ht="14.25" customHeight="1" x14ac:dyDescent="0.3">
      <c r="A14" s="4" t="s">
        <v>13</v>
      </c>
      <c r="B14" s="5">
        <v>27000</v>
      </c>
      <c r="C14" s="6">
        <f t="shared" si="0"/>
        <v>32000</v>
      </c>
      <c r="D14" s="6">
        <f t="shared" si="1"/>
        <v>-5000</v>
      </c>
      <c r="E14" s="6">
        <f t="shared" si="2"/>
        <v>5000</v>
      </c>
      <c r="F14" s="6">
        <f t="shared" si="3"/>
        <v>25000000</v>
      </c>
      <c r="G14" s="7">
        <f t="shared" si="4"/>
        <v>0.18518518518518517</v>
      </c>
      <c r="J14" s="20" t="s">
        <v>100</v>
      </c>
      <c r="L14" s="25">
        <f>100%-J8</f>
        <v>0.90101719359550425</v>
      </c>
    </row>
    <row r="15" spans="1:26" ht="14.25" customHeight="1" x14ac:dyDescent="0.3">
      <c r="A15" s="4" t="s">
        <v>14</v>
      </c>
      <c r="B15" s="5">
        <v>26000</v>
      </c>
      <c r="C15" s="6">
        <f t="shared" si="0"/>
        <v>27000</v>
      </c>
      <c r="D15" s="6">
        <f t="shared" si="1"/>
        <v>-1000</v>
      </c>
      <c r="E15" s="6">
        <f t="shared" si="2"/>
        <v>1000</v>
      </c>
      <c r="F15" s="6">
        <f t="shared" si="3"/>
        <v>1000000</v>
      </c>
      <c r="G15" s="7">
        <f t="shared" si="4"/>
        <v>3.8461538461538464E-2</v>
      </c>
      <c r="L15" s="20" t="s">
        <v>101</v>
      </c>
    </row>
    <row r="16" spans="1:26" ht="14.25" customHeight="1" x14ac:dyDescent="0.3">
      <c r="A16" s="4" t="s">
        <v>15</v>
      </c>
      <c r="B16" s="5">
        <v>24000</v>
      </c>
      <c r="C16" s="6">
        <f t="shared" si="0"/>
        <v>26000</v>
      </c>
      <c r="D16" s="6">
        <f t="shared" si="1"/>
        <v>-2000</v>
      </c>
      <c r="E16" s="6">
        <f t="shared" si="2"/>
        <v>2000</v>
      </c>
      <c r="F16" s="6">
        <f t="shared" si="3"/>
        <v>4000000</v>
      </c>
      <c r="G16" s="7">
        <f t="shared" si="4"/>
        <v>8.3333333333333329E-2</v>
      </c>
    </row>
    <row r="17" spans="1:26" ht="14.25" customHeight="1" x14ac:dyDescent="0.3">
      <c r="A17" s="6" t="s">
        <v>4</v>
      </c>
      <c r="B17" s="6">
        <f>B16</f>
        <v>24000</v>
      </c>
      <c r="C17" s="6"/>
      <c r="D17" s="6"/>
      <c r="E17" s="6"/>
      <c r="F17" s="6"/>
      <c r="G17" s="7"/>
    </row>
    <row r="18" spans="1:26" ht="14.25" customHeight="1" x14ac:dyDescent="0.3"/>
    <row r="19" spans="1:26" ht="14.25" customHeight="1" x14ac:dyDescent="0.3">
      <c r="D19" s="20" t="s">
        <v>85</v>
      </c>
    </row>
    <row r="20" spans="1:26" ht="14.25" customHeight="1" x14ac:dyDescent="0.3">
      <c r="A20" s="1" t="s">
        <v>0</v>
      </c>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2" t="s">
        <v>16</v>
      </c>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row r="23" spans="1:26" ht="14.25" customHeight="1" x14ac:dyDescent="0.3">
      <c r="A23" s="3" t="s">
        <v>17</v>
      </c>
      <c r="B23" s="3" t="s">
        <v>18</v>
      </c>
      <c r="C23" s="20" t="s">
        <v>78</v>
      </c>
      <c r="D23" s="20" t="s">
        <v>82</v>
      </c>
      <c r="E23" s="20" t="s">
        <v>83</v>
      </c>
      <c r="F23" s="21" t="s">
        <v>102</v>
      </c>
      <c r="G23" s="21" t="s">
        <v>103</v>
      </c>
    </row>
    <row r="24" spans="1:26" ht="14.25" customHeight="1" x14ac:dyDescent="0.3">
      <c r="A24" s="4" t="s">
        <v>19</v>
      </c>
      <c r="B24" s="4">
        <v>18</v>
      </c>
    </row>
    <row r="25" spans="1:26" ht="14.25" customHeight="1" x14ac:dyDescent="0.3">
      <c r="A25" s="4" t="s">
        <v>20</v>
      </c>
      <c r="B25" s="4">
        <v>31</v>
      </c>
      <c r="C25">
        <f>B24</f>
        <v>18</v>
      </c>
      <c r="D25">
        <f>B25-C25</f>
        <v>13</v>
      </c>
      <c r="E25">
        <f>ABS(D25)</f>
        <v>13</v>
      </c>
      <c r="F25">
        <f>E25^2</f>
        <v>169</v>
      </c>
      <c r="G25" s="26">
        <f>E25/B25</f>
        <v>0.41935483870967744</v>
      </c>
      <c r="I25" s="20" t="s">
        <v>94</v>
      </c>
      <c r="J25" s="27">
        <f>AVERAGE(E25:E38)</f>
        <v>10.857142857142858</v>
      </c>
    </row>
    <row r="26" spans="1:26" ht="14.25" customHeight="1" x14ac:dyDescent="0.3">
      <c r="A26" s="4" t="s">
        <v>21</v>
      </c>
      <c r="B26" s="4">
        <v>31</v>
      </c>
      <c r="C26">
        <f t="shared" ref="C26:C38" si="5">B25</f>
        <v>31</v>
      </c>
      <c r="D26">
        <f t="shared" ref="D26:D38" si="6">B26-C26</f>
        <v>0</v>
      </c>
      <c r="E26">
        <f t="shared" ref="E26:E38" si="7">ABS(D26)</f>
        <v>0</v>
      </c>
      <c r="F26">
        <f t="shared" ref="F26:F38" si="8">E26^2</f>
        <v>0</v>
      </c>
      <c r="G26" s="26">
        <f t="shared" ref="G26:G38" si="9">E26/B26</f>
        <v>0</v>
      </c>
      <c r="I26" s="20" t="s">
        <v>89</v>
      </c>
      <c r="J26" s="27">
        <f>AVERAGE(F25:F38)</f>
        <v>192.57142857142858</v>
      </c>
    </row>
    <row r="27" spans="1:26" ht="14.25" customHeight="1" x14ac:dyDescent="0.3">
      <c r="A27" s="4" t="s">
        <v>22</v>
      </c>
      <c r="B27" s="4">
        <v>16</v>
      </c>
      <c r="C27">
        <f t="shared" si="5"/>
        <v>31</v>
      </c>
      <c r="D27">
        <f t="shared" si="6"/>
        <v>-15</v>
      </c>
      <c r="E27">
        <f t="shared" si="7"/>
        <v>15</v>
      </c>
      <c r="F27">
        <f t="shared" si="8"/>
        <v>225</v>
      </c>
      <c r="G27" s="26">
        <f t="shared" si="9"/>
        <v>0.9375</v>
      </c>
      <c r="I27" s="20" t="s">
        <v>90</v>
      </c>
      <c r="J27" s="28">
        <f>AVERAGE(G25:G38)</f>
        <v>0.53312153577282118</v>
      </c>
    </row>
    <row r="28" spans="1:26" ht="14.25" customHeight="1" x14ac:dyDescent="0.3">
      <c r="A28" s="4" t="s">
        <v>23</v>
      </c>
      <c r="B28" s="4">
        <v>12</v>
      </c>
      <c r="C28">
        <f t="shared" si="5"/>
        <v>16</v>
      </c>
      <c r="D28">
        <f t="shared" si="6"/>
        <v>-4</v>
      </c>
      <c r="E28">
        <f t="shared" si="7"/>
        <v>4</v>
      </c>
      <c r="F28">
        <f t="shared" si="8"/>
        <v>16</v>
      </c>
      <c r="G28" s="26">
        <f t="shared" si="9"/>
        <v>0.33333333333333331</v>
      </c>
    </row>
    <row r="29" spans="1:26" ht="14.25" customHeight="1" x14ac:dyDescent="0.3">
      <c r="A29" s="4" t="s">
        <v>24</v>
      </c>
      <c r="B29" s="4">
        <v>33</v>
      </c>
      <c r="C29">
        <f t="shared" si="5"/>
        <v>12</v>
      </c>
      <c r="D29">
        <f t="shared" si="6"/>
        <v>21</v>
      </c>
      <c r="E29">
        <f t="shared" si="7"/>
        <v>21</v>
      </c>
      <c r="F29">
        <f t="shared" si="8"/>
        <v>441</v>
      </c>
      <c r="G29" s="26">
        <f t="shared" si="9"/>
        <v>0.63636363636363635</v>
      </c>
    </row>
    <row r="30" spans="1:26" ht="14.25" customHeight="1" x14ac:dyDescent="0.3">
      <c r="A30" s="4" t="s">
        <v>25</v>
      </c>
      <c r="B30" s="4">
        <v>30</v>
      </c>
      <c r="C30">
        <f t="shared" si="5"/>
        <v>33</v>
      </c>
      <c r="D30">
        <f t="shared" si="6"/>
        <v>-3</v>
      </c>
      <c r="E30">
        <f t="shared" si="7"/>
        <v>3</v>
      </c>
      <c r="F30">
        <f t="shared" si="8"/>
        <v>9</v>
      </c>
      <c r="G30" s="26">
        <f t="shared" si="9"/>
        <v>0.1</v>
      </c>
      <c r="I30" s="20" t="s">
        <v>104</v>
      </c>
      <c r="J30" s="26">
        <f>100%-J27</f>
        <v>0.46687846422717882</v>
      </c>
    </row>
    <row r="31" spans="1:26" ht="14.25" customHeight="1" x14ac:dyDescent="0.3">
      <c r="A31" s="4" t="s">
        <v>26</v>
      </c>
      <c r="B31" s="4">
        <v>36</v>
      </c>
      <c r="C31">
        <f t="shared" si="5"/>
        <v>30</v>
      </c>
      <c r="D31">
        <f t="shared" si="6"/>
        <v>6</v>
      </c>
      <c r="E31">
        <f t="shared" si="7"/>
        <v>6</v>
      </c>
      <c r="F31">
        <f t="shared" si="8"/>
        <v>36</v>
      </c>
      <c r="G31" s="26">
        <f t="shared" si="9"/>
        <v>0.16666666666666666</v>
      </c>
    </row>
    <row r="32" spans="1:26" ht="14.25" customHeight="1" x14ac:dyDescent="0.3">
      <c r="A32" s="4" t="s">
        <v>27</v>
      </c>
      <c r="B32" s="4">
        <v>15</v>
      </c>
      <c r="C32">
        <f t="shared" si="5"/>
        <v>36</v>
      </c>
      <c r="D32">
        <f t="shared" si="6"/>
        <v>-21</v>
      </c>
      <c r="E32">
        <f t="shared" si="7"/>
        <v>21</v>
      </c>
      <c r="F32">
        <f t="shared" si="8"/>
        <v>441</v>
      </c>
      <c r="G32" s="26">
        <f t="shared" si="9"/>
        <v>1.4</v>
      </c>
    </row>
    <row r="33" spans="1:7" ht="14.25" customHeight="1" x14ac:dyDescent="0.3">
      <c r="A33" s="4" t="s">
        <v>28</v>
      </c>
      <c r="B33" s="4">
        <v>21</v>
      </c>
      <c r="C33">
        <f t="shared" si="5"/>
        <v>15</v>
      </c>
      <c r="D33">
        <f t="shared" si="6"/>
        <v>6</v>
      </c>
      <c r="E33">
        <f t="shared" si="7"/>
        <v>6</v>
      </c>
      <c r="F33">
        <f t="shared" si="8"/>
        <v>36</v>
      </c>
      <c r="G33" s="26">
        <f t="shared" si="9"/>
        <v>0.2857142857142857</v>
      </c>
    </row>
    <row r="34" spans="1:7" ht="14.25" customHeight="1" x14ac:dyDescent="0.3">
      <c r="A34" s="4" t="s">
        <v>29</v>
      </c>
      <c r="B34" s="4">
        <v>20</v>
      </c>
      <c r="C34">
        <f t="shared" si="5"/>
        <v>21</v>
      </c>
      <c r="D34">
        <f t="shared" si="6"/>
        <v>-1</v>
      </c>
      <c r="E34">
        <f t="shared" si="7"/>
        <v>1</v>
      </c>
      <c r="F34">
        <f t="shared" si="8"/>
        <v>1</v>
      </c>
      <c r="G34" s="26">
        <f t="shared" si="9"/>
        <v>0.05</v>
      </c>
    </row>
    <row r="35" spans="1:7" ht="14.25" customHeight="1" x14ac:dyDescent="0.3">
      <c r="A35" s="4" t="s">
        <v>30</v>
      </c>
      <c r="B35" s="4">
        <v>30</v>
      </c>
      <c r="C35">
        <f t="shared" si="5"/>
        <v>20</v>
      </c>
      <c r="D35">
        <f t="shared" si="6"/>
        <v>10</v>
      </c>
      <c r="E35">
        <f t="shared" si="7"/>
        <v>10</v>
      </c>
      <c r="F35">
        <f t="shared" si="8"/>
        <v>100</v>
      </c>
      <c r="G35" s="26">
        <f t="shared" si="9"/>
        <v>0.33333333333333331</v>
      </c>
    </row>
    <row r="36" spans="1:7" ht="14.25" customHeight="1" x14ac:dyDescent="0.3">
      <c r="A36" s="4" t="s">
        <v>31</v>
      </c>
      <c r="B36" s="4">
        <v>33</v>
      </c>
      <c r="C36">
        <f t="shared" si="5"/>
        <v>30</v>
      </c>
      <c r="D36">
        <f t="shared" si="6"/>
        <v>3</v>
      </c>
      <c r="E36">
        <f t="shared" si="7"/>
        <v>3</v>
      </c>
      <c r="F36">
        <f t="shared" si="8"/>
        <v>9</v>
      </c>
      <c r="G36" s="26">
        <f t="shared" si="9"/>
        <v>9.0909090909090912E-2</v>
      </c>
    </row>
    <row r="37" spans="1:7" ht="14.25" customHeight="1" x14ac:dyDescent="0.3">
      <c r="A37" s="4" t="s">
        <v>32</v>
      </c>
      <c r="B37" s="4">
        <v>11</v>
      </c>
      <c r="C37">
        <f t="shared" si="5"/>
        <v>33</v>
      </c>
      <c r="D37">
        <f t="shared" si="6"/>
        <v>-22</v>
      </c>
      <c r="E37">
        <f t="shared" si="7"/>
        <v>22</v>
      </c>
      <c r="F37">
        <f t="shared" si="8"/>
        <v>484</v>
      </c>
      <c r="G37" s="26">
        <f t="shared" si="9"/>
        <v>2</v>
      </c>
    </row>
    <row r="38" spans="1:7" ht="14.25" customHeight="1" x14ac:dyDescent="0.3">
      <c r="A38" s="4" t="s">
        <v>33</v>
      </c>
      <c r="B38" s="4">
        <v>38</v>
      </c>
      <c r="C38">
        <f t="shared" si="5"/>
        <v>11</v>
      </c>
      <c r="D38">
        <f t="shared" si="6"/>
        <v>27</v>
      </c>
      <c r="E38">
        <f t="shared" si="7"/>
        <v>27</v>
      </c>
      <c r="F38">
        <f t="shared" si="8"/>
        <v>729</v>
      </c>
      <c r="G38" s="26">
        <f t="shared" si="9"/>
        <v>0.71052631578947367</v>
      </c>
    </row>
    <row r="39" spans="1:7" ht="14.25" customHeight="1" x14ac:dyDescent="0.3">
      <c r="A39" s="11" t="s">
        <v>34</v>
      </c>
      <c r="G39" s="26"/>
    </row>
    <row r="40" spans="1:7" ht="14.25" customHeight="1" x14ac:dyDescent="0.3"/>
    <row r="41" spans="1:7" ht="14.25" customHeight="1" x14ac:dyDescent="0.3"/>
    <row r="42" spans="1:7" ht="14.25" customHeight="1" x14ac:dyDescent="0.3"/>
    <row r="43" spans="1:7" ht="14.25" customHeight="1" x14ac:dyDescent="0.3"/>
    <row r="44" spans="1:7" ht="14.25" customHeight="1" x14ac:dyDescent="0.3"/>
    <row r="45" spans="1:7" ht="14.25" customHeight="1" x14ac:dyDescent="0.3"/>
    <row r="46" spans="1:7" ht="14.25" customHeight="1" x14ac:dyDescent="0.3"/>
    <row r="47" spans="1:7" ht="14.25" customHeight="1" x14ac:dyDescent="0.3"/>
    <row r="48" spans="1: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1BFD5-7A10-4D80-950D-256AF82251E4}">
  <dimension ref="A1:L43"/>
  <sheetViews>
    <sheetView showGridLines="0" topLeftCell="A25" workbookViewId="0">
      <selection activeCell="A41" sqref="A41"/>
    </sheetView>
  </sheetViews>
  <sheetFormatPr defaultRowHeight="14.4" x14ac:dyDescent="0.3"/>
  <cols>
    <col min="1" max="1" width="26.44140625" customWidth="1"/>
    <col min="3" max="3" width="26.44140625" customWidth="1"/>
  </cols>
  <sheetData>
    <row r="1" spans="1:12" x14ac:dyDescent="0.3">
      <c r="A1" s="14" t="s">
        <v>41</v>
      </c>
    </row>
    <row r="3" spans="1:12" x14ac:dyDescent="0.3">
      <c r="A3" s="14" t="s">
        <v>42</v>
      </c>
    </row>
    <row r="4" spans="1:12" x14ac:dyDescent="0.3">
      <c r="A4" s="14" t="s">
        <v>43</v>
      </c>
    </row>
    <row r="5" spans="1:12" x14ac:dyDescent="0.3">
      <c r="A5" s="14" t="s">
        <v>45</v>
      </c>
    </row>
    <row r="6" spans="1:12" x14ac:dyDescent="0.3">
      <c r="A6" s="14" t="s">
        <v>44</v>
      </c>
    </row>
    <row r="8" spans="1:12" x14ac:dyDescent="0.3">
      <c r="A8" s="14" t="s">
        <v>46</v>
      </c>
    </row>
    <row r="10" spans="1:12" ht="15" thickBot="1" x14ac:dyDescent="0.35">
      <c r="A10" s="14" t="s">
        <v>47</v>
      </c>
      <c r="G10" s="14" t="s">
        <v>49</v>
      </c>
    </row>
    <row r="11" spans="1:12" ht="15" thickBot="1" x14ac:dyDescent="0.35">
      <c r="A11" s="15" t="s">
        <v>48</v>
      </c>
      <c r="B11" s="16"/>
      <c r="C11" s="16"/>
      <c r="D11" s="16"/>
      <c r="E11" s="17"/>
      <c r="G11" s="15" t="s">
        <v>50</v>
      </c>
      <c r="H11" s="16"/>
      <c r="I11" s="16"/>
      <c r="J11" s="16"/>
      <c r="K11" s="16"/>
      <c r="L11" s="17"/>
    </row>
    <row r="12" spans="1:12" x14ac:dyDescent="0.3">
      <c r="A12" s="18" t="s">
        <v>51</v>
      </c>
    </row>
    <row r="14" spans="1:12" x14ac:dyDescent="0.3">
      <c r="A14" s="14" t="s">
        <v>52</v>
      </c>
    </row>
    <row r="15" spans="1:12" x14ac:dyDescent="0.3">
      <c r="A15" s="18" t="s">
        <v>53</v>
      </c>
    </row>
    <row r="16" spans="1:12" x14ac:dyDescent="0.3">
      <c r="A16" s="14" t="s">
        <v>54</v>
      </c>
    </row>
    <row r="17" spans="1:3" x14ac:dyDescent="0.3">
      <c r="A17" s="14" t="s">
        <v>55</v>
      </c>
    </row>
    <row r="20" spans="1:3" x14ac:dyDescent="0.3">
      <c r="A20" s="14" t="s">
        <v>56</v>
      </c>
    </row>
    <row r="21" spans="1:3" x14ac:dyDescent="0.3">
      <c r="A21" s="14" t="s">
        <v>57</v>
      </c>
    </row>
    <row r="22" spans="1:3" x14ac:dyDescent="0.3">
      <c r="A22" s="14" t="s">
        <v>58</v>
      </c>
    </row>
    <row r="24" spans="1:3" x14ac:dyDescent="0.3">
      <c r="A24" s="14" t="s">
        <v>59</v>
      </c>
      <c r="C24" s="14" t="s">
        <v>61</v>
      </c>
    </row>
    <row r="25" spans="1:3" ht="141.6" customHeight="1" x14ac:dyDescent="0.3">
      <c r="A25" s="19" t="s">
        <v>60</v>
      </c>
      <c r="B25" s="19"/>
      <c r="C25" s="19" t="s">
        <v>62</v>
      </c>
    </row>
    <row r="29" spans="1:3" x14ac:dyDescent="0.3">
      <c r="A29" s="14" t="s">
        <v>63</v>
      </c>
    </row>
    <row r="31" spans="1:3" x14ac:dyDescent="0.3">
      <c r="A31" s="14" t="s">
        <v>64</v>
      </c>
    </row>
    <row r="32" spans="1:3" x14ac:dyDescent="0.3">
      <c r="A32" s="14" t="s">
        <v>65</v>
      </c>
    </row>
    <row r="33" spans="1:4" x14ac:dyDescent="0.3">
      <c r="A33" s="14" t="s">
        <v>66</v>
      </c>
    </row>
    <row r="34" spans="1:4" x14ac:dyDescent="0.3">
      <c r="A34" s="14" t="s">
        <v>67</v>
      </c>
    </row>
    <row r="36" spans="1:4" x14ac:dyDescent="0.3">
      <c r="A36" s="14" t="s">
        <v>68</v>
      </c>
    </row>
    <row r="37" spans="1:4" x14ac:dyDescent="0.3">
      <c r="A37" s="14" t="s">
        <v>69</v>
      </c>
    </row>
    <row r="38" spans="1:4" x14ac:dyDescent="0.3">
      <c r="A38" s="14" t="s">
        <v>70</v>
      </c>
    </row>
    <row r="39" spans="1:4" x14ac:dyDescent="0.3">
      <c r="D39" t="s">
        <v>72</v>
      </c>
    </row>
    <row r="40" spans="1:4" x14ac:dyDescent="0.3">
      <c r="A40" t="s">
        <v>75</v>
      </c>
    </row>
    <row r="41" spans="1:4" x14ac:dyDescent="0.3">
      <c r="A41" t="s">
        <v>71</v>
      </c>
    </row>
    <row r="42" spans="1:4" x14ac:dyDescent="0.3">
      <c r="A42" t="s">
        <v>73</v>
      </c>
    </row>
    <row r="43" spans="1:4" x14ac:dyDescent="0.3">
      <c r="A43"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5" sqref="E5"/>
    </sheetView>
  </sheetViews>
  <sheetFormatPr defaultColWidth="14.44140625" defaultRowHeight="15" customHeight="1" x14ac:dyDescent="0.3"/>
  <cols>
    <col min="1" max="1" width="12" customWidth="1"/>
    <col min="2" max="2" width="9.44140625" customWidth="1"/>
    <col min="3" max="3" width="14.5546875" customWidth="1"/>
    <col min="4" max="4" width="8.6640625" customWidth="1"/>
    <col min="5" max="5" width="13" customWidth="1"/>
    <col min="6" max="7" width="14.88671875" customWidth="1"/>
    <col min="8" max="9" width="8.6640625" customWidth="1"/>
    <col min="10" max="10" width="11.109375" customWidth="1"/>
    <col min="11" max="11" width="8.6640625" customWidth="1"/>
    <col min="12" max="12" width="11.21875" customWidth="1"/>
    <col min="13" max="14" width="8.6640625" customWidth="1"/>
    <col min="15" max="15" width="11.109375" customWidth="1"/>
    <col min="16" max="26" width="8.6640625" customWidth="1"/>
  </cols>
  <sheetData>
    <row r="1" spans="1:26" ht="14.25" customHeight="1" x14ac:dyDescent="0.3">
      <c r="A1" s="1" t="s">
        <v>35</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2" t="s">
        <v>1</v>
      </c>
      <c r="B2" s="2"/>
      <c r="C2" s="2"/>
      <c r="D2" s="2" t="s">
        <v>109</v>
      </c>
      <c r="E2" s="2"/>
      <c r="F2" s="2"/>
      <c r="G2" s="2"/>
      <c r="H2" s="2"/>
      <c r="I2" s="2"/>
      <c r="J2" s="2"/>
      <c r="K2" s="2"/>
      <c r="L2" s="2"/>
      <c r="M2" s="2"/>
      <c r="N2" s="2"/>
      <c r="O2" s="2"/>
      <c r="P2" s="2"/>
      <c r="Q2" s="2"/>
      <c r="R2" s="2"/>
      <c r="S2" s="2"/>
      <c r="T2" s="2"/>
      <c r="U2" s="2"/>
      <c r="V2" s="2"/>
      <c r="W2" s="2"/>
      <c r="X2" s="2"/>
      <c r="Y2" s="2"/>
      <c r="Z2" s="2"/>
    </row>
    <row r="3" spans="1:26" ht="14.25" customHeight="1" x14ac:dyDescent="0.3">
      <c r="C3" s="20" t="s">
        <v>107</v>
      </c>
      <c r="I3" s="7"/>
      <c r="J3" s="7"/>
      <c r="K3" s="7"/>
    </row>
    <row r="4" spans="1:26" ht="14.25" customHeight="1" x14ac:dyDescent="0.3">
      <c r="A4" s="3" t="s">
        <v>2</v>
      </c>
      <c r="B4" s="3" t="s">
        <v>3</v>
      </c>
      <c r="C4" s="20" t="s">
        <v>106</v>
      </c>
      <c r="D4" s="20" t="s">
        <v>79</v>
      </c>
      <c r="E4" s="20" t="s">
        <v>81</v>
      </c>
      <c r="F4" s="21" t="s">
        <v>84</v>
      </c>
      <c r="G4" s="21" t="s">
        <v>86</v>
      </c>
    </row>
    <row r="5" spans="1:26" ht="14.25" customHeight="1" x14ac:dyDescent="0.3">
      <c r="A5" s="4" t="s">
        <v>4</v>
      </c>
      <c r="B5" s="5">
        <v>34000</v>
      </c>
      <c r="D5" s="6"/>
    </row>
    <row r="6" spans="1:26" ht="14.25" customHeight="1" x14ac:dyDescent="0.3">
      <c r="A6" s="4" t="s">
        <v>5</v>
      </c>
      <c r="B6" s="5">
        <v>37000</v>
      </c>
      <c r="D6" s="6"/>
      <c r="N6" s="8"/>
      <c r="O6" s="6"/>
    </row>
    <row r="7" spans="1:26" ht="14.25" customHeight="1" x14ac:dyDescent="0.3">
      <c r="A7" s="4" t="s">
        <v>6</v>
      </c>
      <c r="B7" s="5">
        <v>44000</v>
      </c>
      <c r="C7" s="6"/>
      <c r="D7" s="6"/>
      <c r="E7" s="6"/>
      <c r="F7" s="6"/>
      <c r="G7" s="7"/>
      <c r="N7" s="8"/>
      <c r="O7" s="6"/>
    </row>
    <row r="8" spans="1:26" ht="14.25" customHeight="1" x14ac:dyDescent="0.3">
      <c r="A8" s="4" t="s">
        <v>7</v>
      </c>
      <c r="B8" s="5">
        <v>47000</v>
      </c>
      <c r="C8" s="6">
        <f>AVERAGE(B5:B7)</f>
        <v>38333.333333333336</v>
      </c>
      <c r="D8" s="6">
        <f>B8-C8</f>
        <v>8666.6666666666642</v>
      </c>
      <c r="E8" s="6">
        <f>ABS(D8)</f>
        <v>8666.6666666666642</v>
      </c>
      <c r="F8" s="6">
        <f>E8^2</f>
        <v>75111111.111111075</v>
      </c>
      <c r="G8" s="7">
        <f>E8/B8</f>
        <v>0.18439716312056734</v>
      </c>
      <c r="I8" s="6"/>
      <c r="K8" t="s">
        <v>94</v>
      </c>
      <c r="L8" s="23">
        <f>AVERAGE(E8:E16)</f>
        <v>6777.7777777777774</v>
      </c>
      <c r="N8" s="8"/>
      <c r="O8" s="6"/>
    </row>
    <row r="9" spans="1:26" ht="14.25" customHeight="1" x14ac:dyDescent="0.3">
      <c r="A9" s="4" t="s">
        <v>8</v>
      </c>
      <c r="B9" s="5">
        <v>48000</v>
      </c>
      <c r="C9" s="6">
        <f t="shared" ref="C9:C16" si="0">AVERAGE(B6:B8)</f>
        <v>42666.666666666664</v>
      </c>
      <c r="D9" s="6">
        <f t="shared" ref="D9:D16" si="1">B9-C9</f>
        <v>5333.3333333333358</v>
      </c>
      <c r="E9" s="6">
        <f t="shared" ref="E9:E16" si="2">ABS(D9)</f>
        <v>5333.3333333333358</v>
      </c>
      <c r="F9" s="6">
        <f t="shared" ref="F9:F16" si="3">E9^2</f>
        <v>28444444.44444447</v>
      </c>
      <c r="G9" s="7">
        <f t="shared" ref="G9:G16" si="4">E9/B9</f>
        <v>0.11111111111111116</v>
      </c>
      <c r="I9" s="9"/>
      <c r="J9" s="9"/>
      <c r="K9" t="s">
        <v>89</v>
      </c>
      <c r="L9" s="23">
        <f>AVERAGE(F8:F16)</f>
        <v>63913580.246913582</v>
      </c>
      <c r="N9" s="8"/>
      <c r="O9" s="7"/>
    </row>
    <row r="10" spans="1:26" ht="14.25" customHeight="1" x14ac:dyDescent="0.3">
      <c r="A10" s="4" t="s">
        <v>9</v>
      </c>
      <c r="B10" s="5">
        <v>48000</v>
      </c>
      <c r="C10" s="6">
        <f t="shared" si="0"/>
        <v>46333.333333333336</v>
      </c>
      <c r="D10" s="6">
        <f t="shared" si="1"/>
        <v>1666.6666666666642</v>
      </c>
      <c r="E10" s="6">
        <f t="shared" si="2"/>
        <v>1666.6666666666642</v>
      </c>
      <c r="F10" s="6">
        <f t="shared" si="3"/>
        <v>2777777.7777777696</v>
      </c>
      <c r="G10" s="7">
        <f t="shared" si="4"/>
        <v>3.4722222222222168E-2</v>
      </c>
      <c r="I10" s="9"/>
      <c r="J10" s="9"/>
      <c r="K10" t="s">
        <v>90</v>
      </c>
      <c r="L10" s="28">
        <f>AVERAGE(G8:G16)</f>
        <v>0.20848843682059387</v>
      </c>
    </row>
    <row r="11" spans="1:26" ht="14.25" customHeight="1" x14ac:dyDescent="0.3">
      <c r="A11" s="4" t="s">
        <v>10</v>
      </c>
      <c r="B11" s="5">
        <v>46000</v>
      </c>
      <c r="C11" s="6">
        <f t="shared" si="0"/>
        <v>47666.666666666664</v>
      </c>
      <c r="D11" s="6">
        <f t="shared" si="1"/>
        <v>-1666.6666666666642</v>
      </c>
      <c r="E11" s="6">
        <f t="shared" si="2"/>
        <v>1666.6666666666642</v>
      </c>
      <c r="F11" s="6">
        <f t="shared" si="3"/>
        <v>2777777.7777777696</v>
      </c>
      <c r="G11" s="7">
        <f t="shared" si="4"/>
        <v>3.623188405797096E-2</v>
      </c>
      <c r="I11" s="9"/>
      <c r="J11" s="10"/>
      <c r="O11" s="8"/>
    </row>
    <row r="12" spans="1:26" ht="14.25" customHeight="1" x14ac:dyDescent="0.3">
      <c r="A12" s="4" t="s">
        <v>11</v>
      </c>
      <c r="B12" s="5">
        <v>43000</v>
      </c>
      <c r="C12" s="6">
        <f t="shared" si="0"/>
        <v>47333.333333333336</v>
      </c>
      <c r="D12" s="6">
        <f t="shared" si="1"/>
        <v>-4333.3333333333358</v>
      </c>
      <c r="E12" s="6">
        <f t="shared" si="2"/>
        <v>4333.3333333333358</v>
      </c>
      <c r="F12" s="6">
        <f t="shared" si="3"/>
        <v>18777777.777777798</v>
      </c>
      <c r="G12" s="7">
        <f t="shared" si="4"/>
        <v>0.10077519379844967</v>
      </c>
      <c r="I12" s="6"/>
      <c r="N12" s="8"/>
      <c r="O12" s="7"/>
    </row>
    <row r="13" spans="1:26" ht="14.25" customHeight="1" x14ac:dyDescent="0.3">
      <c r="A13" s="4" t="s">
        <v>12</v>
      </c>
      <c r="B13" s="5">
        <v>32000</v>
      </c>
      <c r="C13" s="6">
        <f t="shared" si="0"/>
        <v>45666.666666666664</v>
      </c>
      <c r="D13" s="6">
        <f t="shared" si="1"/>
        <v>-13666.666666666664</v>
      </c>
      <c r="E13" s="6">
        <f t="shared" si="2"/>
        <v>13666.666666666664</v>
      </c>
      <c r="F13" s="6">
        <f t="shared" si="3"/>
        <v>186777777.7777777</v>
      </c>
      <c r="G13" s="7">
        <f t="shared" si="4"/>
        <v>0.42708333333333326</v>
      </c>
      <c r="I13" s="6"/>
    </row>
    <row r="14" spans="1:26" ht="14.25" customHeight="1" x14ac:dyDescent="0.3">
      <c r="A14" s="4" t="s">
        <v>13</v>
      </c>
      <c r="B14" s="5">
        <v>27000</v>
      </c>
      <c r="C14" s="6">
        <f t="shared" si="0"/>
        <v>40333.333333333336</v>
      </c>
      <c r="D14" s="6">
        <f t="shared" si="1"/>
        <v>-13333.333333333336</v>
      </c>
      <c r="E14" s="6">
        <f t="shared" si="2"/>
        <v>13333.333333333336</v>
      </c>
      <c r="F14" s="6">
        <f t="shared" si="3"/>
        <v>177777777.77777785</v>
      </c>
      <c r="G14" s="7">
        <f t="shared" si="4"/>
        <v>0.49382716049382724</v>
      </c>
      <c r="I14" s="9"/>
      <c r="J14" s="10"/>
      <c r="K14" t="s">
        <v>108</v>
      </c>
      <c r="L14" s="26">
        <f>100%-L10</f>
        <v>0.79151156317940607</v>
      </c>
    </row>
    <row r="15" spans="1:26" ht="14.25" customHeight="1" x14ac:dyDescent="0.3">
      <c r="A15" s="4" t="s">
        <v>14</v>
      </c>
      <c r="B15" s="5">
        <v>26000</v>
      </c>
      <c r="C15" s="6">
        <f t="shared" si="0"/>
        <v>34000</v>
      </c>
      <c r="D15" s="6">
        <f t="shared" si="1"/>
        <v>-8000</v>
      </c>
      <c r="E15" s="6">
        <f t="shared" si="2"/>
        <v>8000</v>
      </c>
      <c r="F15" s="6">
        <f t="shared" si="3"/>
        <v>64000000</v>
      </c>
      <c r="G15" s="7">
        <f t="shared" si="4"/>
        <v>0.30769230769230771</v>
      </c>
      <c r="I15" s="9"/>
      <c r="J15" s="10"/>
    </row>
    <row r="16" spans="1:26" ht="14.25" customHeight="1" x14ac:dyDescent="0.3">
      <c r="A16" s="4" t="s">
        <v>15</v>
      </c>
      <c r="B16" s="5">
        <v>24000</v>
      </c>
      <c r="C16" s="6">
        <f t="shared" si="0"/>
        <v>28333.333333333332</v>
      </c>
      <c r="D16" s="6">
        <f t="shared" si="1"/>
        <v>-4333.3333333333321</v>
      </c>
      <c r="E16" s="6">
        <f t="shared" si="2"/>
        <v>4333.3333333333321</v>
      </c>
      <c r="F16" s="6">
        <f t="shared" si="3"/>
        <v>18777777.777777769</v>
      </c>
      <c r="G16" s="7">
        <f t="shared" si="4"/>
        <v>0.1805555555555555</v>
      </c>
      <c r="I16" s="6"/>
    </row>
    <row r="17" spans="1:26" ht="14.25" customHeight="1" x14ac:dyDescent="0.3">
      <c r="A17" s="11" t="s">
        <v>4</v>
      </c>
      <c r="B17" s="23">
        <f>AVERAGE(B14:B16)</f>
        <v>25666.666666666668</v>
      </c>
      <c r="C17" s="6"/>
      <c r="E17" s="6"/>
    </row>
    <row r="18" spans="1:26" ht="14.25" customHeight="1" x14ac:dyDescent="0.3"/>
    <row r="19" spans="1:26" ht="14.25" customHeight="1" x14ac:dyDescent="0.3"/>
    <row r="20" spans="1:26" ht="14.25" customHeight="1" x14ac:dyDescent="0.3"/>
    <row r="21" spans="1:26" ht="14.25" customHeight="1" x14ac:dyDescent="0.3">
      <c r="A21" s="1" t="s">
        <v>35</v>
      </c>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2" t="s">
        <v>16</v>
      </c>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row r="24" spans="1:26" ht="14.25" customHeight="1" x14ac:dyDescent="0.3">
      <c r="A24" s="3" t="s">
        <v>17</v>
      </c>
      <c r="B24" s="3" t="s">
        <v>18</v>
      </c>
    </row>
    <row r="25" spans="1:26" ht="14.25" customHeight="1" x14ac:dyDescent="0.3">
      <c r="A25" s="4" t="s">
        <v>19</v>
      </c>
      <c r="B25" s="4">
        <v>18</v>
      </c>
    </row>
    <row r="26" spans="1:26" ht="14.25" customHeight="1" x14ac:dyDescent="0.3">
      <c r="A26" s="4" t="s">
        <v>20</v>
      </c>
      <c r="B26" s="4">
        <v>31</v>
      </c>
    </row>
    <row r="27" spans="1:26" ht="14.25" customHeight="1" x14ac:dyDescent="0.3">
      <c r="A27" s="4" t="s">
        <v>21</v>
      </c>
      <c r="B27" s="4">
        <v>31</v>
      </c>
    </row>
    <row r="28" spans="1:26" ht="14.25" customHeight="1" x14ac:dyDescent="0.3">
      <c r="A28" s="4" t="s">
        <v>22</v>
      </c>
      <c r="B28" s="4">
        <v>16</v>
      </c>
    </row>
    <row r="29" spans="1:26" ht="14.25" customHeight="1" x14ac:dyDescent="0.3">
      <c r="A29" s="4" t="s">
        <v>23</v>
      </c>
      <c r="B29" s="4">
        <v>12</v>
      </c>
    </row>
    <row r="30" spans="1:26" ht="14.25" customHeight="1" x14ac:dyDescent="0.3">
      <c r="A30" s="4" t="s">
        <v>24</v>
      </c>
      <c r="B30" s="4">
        <v>33</v>
      </c>
    </row>
    <row r="31" spans="1:26" ht="14.25" customHeight="1" x14ac:dyDescent="0.3">
      <c r="A31" s="4" t="s">
        <v>25</v>
      </c>
      <c r="B31" s="4">
        <v>30</v>
      </c>
    </row>
    <row r="32" spans="1:26" ht="14.25" customHeight="1" x14ac:dyDescent="0.3">
      <c r="A32" s="4" t="s">
        <v>26</v>
      </c>
      <c r="B32" s="4">
        <v>36</v>
      </c>
    </row>
    <row r="33" spans="1:2" ht="14.25" customHeight="1" x14ac:dyDescent="0.3">
      <c r="A33" s="4" t="s">
        <v>27</v>
      </c>
      <c r="B33" s="4">
        <v>15</v>
      </c>
    </row>
    <row r="34" spans="1:2" ht="14.25" customHeight="1" x14ac:dyDescent="0.3">
      <c r="A34" s="4" t="s">
        <v>28</v>
      </c>
      <c r="B34" s="4">
        <v>21</v>
      </c>
    </row>
    <row r="35" spans="1:2" ht="14.25" customHeight="1" x14ac:dyDescent="0.3">
      <c r="A35" s="4" t="s">
        <v>29</v>
      </c>
      <c r="B35" s="4">
        <v>20</v>
      </c>
    </row>
    <row r="36" spans="1:2" ht="14.25" customHeight="1" x14ac:dyDescent="0.3">
      <c r="A36" s="4" t="s">
        <v>30</v>
      </c>
      <c r="B36" s="4">
        <v>30</v>
      </c>
    </row>
    <row r="37" spans="1:2" ht="14.25" customHeight="1" x14ac:dyDescent="0.3">
      <c r="A37" s="4" t="s">
        <v>31</v>
      </c>
      <c r="B37" s="4">
        <v>33</v>
      </c>
    </row>
    <row r="38" spans="1:2" ht="14.25" customHeight="1" x14ac:dyDescent="0.3">
      <c r="A38" s="4" t="s">
        <v>32</v>
      </c>
      <c r="B38" s="4">
        <v>11</v>
      </c>
    </row>
    <row r="39" spans="1:2" ht="14.25" customHeight="1" x14ac:dyDescent="0.3">
      <c r="A39" s="4" t="s">
        <v>33</v>
      </c>
      <c r="B39" s="4">
        <v>38</v>
      </c>
    </row>
    <row r="40" spans="1:2" ht="14.25" customHeight="1" x14ac:dyDescent="0.3">
      <c r="A40" s="11" t="s">
        <v>34</v>
      </c>
    </row>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G3" workbookViewId="0">
      <selection activeCell="J8" sqref="J8:K13"/>
    </sheetView>
  </sheetViews>
  <sheetFormatPr defaultColWidth="14.44140625" defaultRowHeight="15" customHeight="1" x14ac:dyDescent="0.3"/>
  <cols>
    <col min="1" max="1" width="8.6640625" customWidth="1"/>
    <col min="2" max="2" width="16.5546875" customWidth="1"/>
    <col min="3" max="3" width="15.88671875" customWidth="1"/>
    <col min="4" max="4" width="10.44140625" customWidth="1"/>
    <col min="5" max="5" width="13.109375" customWidth="1"/>
    <col min="6" max="7" width="14.88671875" customWidth="1"/>
    <col min="8" max="8" width="6.109375" customWidth="1"/>
    <col min="9" max="9" width="8.6640625" customWidth="1"/>
    <col min="10" max="10" width="11.109375" customWidth="1"/>
    <col min="11" max="11" width="14.88671875" customWidth="1"/>
    <col min="12" max="26" width="8.6640625" customWidth="1"/>
  </cols>
  <sheetData>
    <row r="1" spans="1:26" ht="14.25" customHeight="1" x14ac:dyDescent="0.3">
      <c r="A1" s="1" t="s">
        <v>36</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2" t="s">
        <v>1</v>
      </c>
      <c r="B2" s="2"/>
      <c r="C2" s="2"/>
      <c r="D2" s="2" t="s">
        <v>110</v>
      </c>
      <c r="E2" s="2"/>
      <c r="F2" s="2"/>
      <c r="G2" s="2"/>
      <c r="H2" s="2"/>
      <c r="I2" s="2"/>
      <c r="J2" s="2"/>
      <c r="K2" s="2"/>
      <c r="L2" s="2"/>
      <c r="M2" s="2"/>
      <c r="N2" s="2"/>
      <c r="O2" s="2"/>
      <c r="P2" s="2"/>
      <c r="Q2" s="2"/>
      <c r="R2" s="2"/>
      <c r="S2" s="2"/>
      <c r="T2" s="2"/>
      <c r="U2" s="2"/>
      <c r="V2" s="2"/>
      <c r="W2" s="2"/>
      <c r="X2" s="2"/>
      <c r="Y2" s="2"/>
      <c r="Z2" s="2"/>
    </row>
    <row r="3" spans="1:26" ht="14.25" customHeight="1" x14ac:dyDescent="0.3"/>
    <row r="4" spans="1:26" ht="14.25" customHeight="1" x14ac:dyDescent="0.3">
      <c r="A4" s="3" t="s">
        <v>2</v>
      </c>
      <c r="B4" s="3" t="s">
        <v>37</v>
      </c>
      <c r="C4" s="29" t="s">
        <v>78</v>
      </c>
      <c r="D4" s="29" t="s">
        <v>79</v>
      </c>
      <c r="E4" s="29" t="s">
        <v>81</v>
      </c>
      <c r="F4" s="29" t="s">
        <v>84</v>
      </c>
      <c r="G4" s="30" t="s">
        <v>86</v>
      </c>
      <c r="H4" s="30"/>
    </row>
    <row r="5" spans="1:26" ht="14.25" customHeight="1" x14ac:dyDescent="0.3">
      <c r="A5" s="4" t="s">
        <v>4</v>
      </c>
      <c r="B5" s="5">
        <v>34000</v>
      </c>
      <c r="C5" t="e">
        <v>#N/A</v>
      </c>
    </row>
    <row r="6" spans="1:26" ht="14.25" customHeight="1" x14ac:dyDescent="0.3">
      <c r="A6" s="4" t="s">
        <v>5</v>
      </c>
      <c r="B6" s="5">
        <v>37000</v>
      </c>
      <c r="C6" s="23">
        <f>B5</f>
        <v>34000</v>
      </c>
      <c r="D6" s="6">
        <f>B6-C6</f>
        <v>3000</v>
      </c>
      <c r="E6" s="6">
        <f>ABS(D6)</f>
        <v>3000</v>
      </c>
      <c r="F6" s="6">
        <f>E6^2</f>
        <v>9000000</v>
      </c>
      <c r="G6" s="7">
        <f>E6/B6</f>
        <v>8.1081081081081086E-2</v>
      </c>
      <c r="I6" s="8"/>
      <c r="J6" s="6"/>
    </row>
    <row r="7" spans="1:26" ht="14.25" customHeight="1" x14ac:dyDescent="0.3">
      <c r="A7" s="4" t="s">
        <v>6</v>
      </c>
      <c r="B7" s="5">
        <v>44000</v>
      </c>
      <c r="C7" s="33">
        <f t="shared" ref="C7:C16" si="0">0.9*B6+0.1*C6</f>
        <v>36700</v>
      </c>
      <c r="D7" s="6">
        <f t="shared" ref="D7:D16" si="1">B7-C7</f>
        <v>7300</v>
      </c>
      <c r="E7" s="6">
        <f t="shared" ref="E7:E15" si="2">ABS(D7)</f>
        <v>7300</v>
      </c>
      <c r="F7" s="6">
        <f t="shared" ref="F7:F16" si="3">E7^2</f>
        <v>53290000</v>
      </c>
      <c r="G7" s="7">
        <f t="shared" ref="G7:G16" si="4">E7/B7</f>
        <v>0.16590909090909092</v>
      </c>
      <c r="I7" s="8"/>
      <c r="J7" s="6"/>
    </row>
    <row r="8" spans="1:26" ht="14.25" customHeight="1" x14ac:dyDescent="0.3">
      <c r="A8" s="4" t="s">
        <v>7</v>
      </c>
      <c r="B8" s="5">
        <v>47000</v>
      </c>
      <c r="C8" s="33">
        <f t="shared" si="0"/>
        <v>43270</v>
      </c>
      <c r="D8" s="6">
        <f t="shared" si="1"/>
        <v>3730</v>
      </c>
      <c r="E8" s="6">
        <f t="shared" si="2"/>
        <v>3730</v>
      </c>
      <c r="F8" s="6">
        <f t="shared" si="3"/>
        <v>13912900</v>
      </c>
      <c r="G8" s="7">
        <f t="shared" si="4"/>
        <v>7.936170212765957E-2</v>
      </c>
      <c r="I8" s="8"/>
      <c r="J8" s="6" t="s">
        <v>88</v>
      </c>
      <c r="K8" s="23">
        <f>AVERAGE(E6:E16)</f>
        <v>3813.7785872454547</v>
      </c>
    </row>
    <row r="9" spans="1:26" ht="14.25" customHeight="1" x14ac:dyDescent="0.3">
      <c r="A9" s="4" t="s">
        <v>8</v>
      </c>
      <c r="B9" s="5">
        <v>48000</v>
      </c>
      <c r="C9" s="33">
        <f t="shared" si="0"/>
        <v>46627</v>
      </c>
      <c r="D9" s="6">
        <f t="shared" si="1"/>
        <v>1373</v>
      </c>
      <c r="E9" s="6">
        <f t="shared" si="2"/>
        <v>1373</v>
      </c>
      <c r="F9" s="6">
        <f t="shared" si="3"/>
        <v>1885129</v>
      </c>
      <c r="G9" s="7">
        <f t="shared" si="4"/>
        <v>2.8604166666666667E-2</v>
      </c>
      <c r="I9" s="8"/>
      <c r="J9" s="6" t="s">
        <v>89</v>
      </c>
      <c r="K9" s="23">
        <f>AVERAGE(F6:F16)</f>
        <v>24117965.819036815</v>
      </c>
    </row>
    <row r="10" spans="1:26" ht="14.25" customHeight="1" x14ac:dyDescent="0.3">
      <c r="A10" s="4" t="s">
        <v>9</v>
      </c>
      <c r="B10" s="5">
        <v>48000</v>
      </c>
      <c r="C10" s="31">
        <f t="shared" si="0"/>
        <v>47862.7</v>
      </c>
      <c r="D10" s="6">
        <f t="shared" si="1"/>
        <v>137.30000000000291</v>
      </c>
      <c r="E10" s="6">
        <f t="shared" si="2"/>
        <v>137.30000000000291</v>
      </c>
      <c r="F10" s="6">
        <f t="shared" si="3"/>
        <v>18851.290000000798</v>
      </c>
      <c r="G10" s="7">
        <f t="shared" si="4"/>
        <v>2.8604166666667272E-3</v>
      </c>
      <c r="J10" s="7" t="s">
        <v>90</v>
      </c>
      <c r="K10" s="26">
        <f>AVERAGE(G6:G16)</f>
        <v>0.1098491201603351</v>
      </c>
    </row>
    <row r="11" spans="1:26" ht="14.25" customHeight="1" x14ac:dyDescent="0.3">
      <c r="A11" s="4" t="s">
        <v>10</v>
      </c>
      <c r="B11" s="5">
        <v>46000</v>
      </c>
      <c r="C11" s="34">
        <f t="shared" si="0"/>
        <v>47986.27</v>
      </c>
      <c r="D11" s="6">
        <f t="shared" si="1"/>
        <v>-1986.2699999999968</v>
      </c>
      <c r="E11" s="6">
        <f t="shared" si="2"/>
        <v>1986.2699999999968</v>
      </c>
      <c r="F11" s="6">
        <f t="shared" si="3"/>
        <v>3945268.5128999874</v>
      </c>
      <c r="G11" s="7">
        <f t="shared" si="4"/>
        <v>4.317978260869558E-2</v>
      </c>
    </row>
    <row r="12" spans="1:26" ht="14.25" customHeight="1" x14ac:dyDescent="0.3">
      <c r="A12" s="4" t="s">
        <v>11</v>
      </c>
      <c r="B12" s="5">
        <v>43000</v>
      </c>
      <c r="C12" s="35">
        <f t="shared" si="0"/>
        <v>46198.627</v>
      </c>
      <c r="D12" s="6">
        <f t="shared" si="1"/>
        <v>-3198.6270000000004</v>
      </c>
      <c r="E12" s="6">
        <f t="shared" si="2"/>
        <v>3198.6270000000004</v>
      </c>
      <c r="F12" s="6">
        <f t="shared" si="3"/>
        <v>10231214.685129002</v>
      </c>
      <c r="G12" s="7">
        <f t="shared" si="4"/>
        <v>7.4386674418604665E-2</v>
      </c>
      <c r="I12" s="8"/>
      <c r="J12" s="7"/>
      <c r="K12" s="7"/>
    </row>
    <row r="13" spans="1:26" ht="14.25" customHeight="1" x14ac:dyDescent="0.3">
      <c r="A13" s="4" t="s">
        <v>12</v>
      </c>
      <c r="B13" s="5">
        <v>32000</v>
      </c>
      <c r="C13" s="36">
        <f t="shared" si="0"/>
        <v>43319.862699999998</v>
      </c>
      <c r="D13" s="6">
        <f t="shared" si="1"/>
        <v>-11319.862699999998</v>
      </c>
      <c r="E13" s="6">
        <f t="shared" si="2"/>
        <v>11319.862699999998</v>
      </c>
      <c r="F13" s="6">
        <f t="shared" si="3"/>
        <v>128139291.54685125</v>
      </c>
      <c r="G13" s="7">
        <f t="shared" si="4"/>
        <v>0.35374570937499994</v>
      </c>
      <c r="I13" s="8"/>
      <c r="J13" s="7" t="s">
        <v>111</v>
      </c>
      <c r="K13" s="26">
        <f>100%-K10</f>
        <v>0.8901508798396649</v>
      </c>
    </row>
    <row r="14" spans="1:26" ht="14.25" customHeight="1" x14ac:dyDescent="0.3">
      <c r="A14" s="4" t="s">
        <v>13</v>
      </c>
      <c r="B14" s="5">
        <v>27000</v>
      </c>
      <c r="C14" s="37">
        <f t="shared" si="0"/>
        <v>33131.986270000001</v>
      </c>
      <c r="D14" s="6">
        <f t="shared" si="1"/>
        <v>-6131.9862700000012</v>
      </c>
      <c r="E14" s="6">
        <f t="shared" si="2"/>
        <v>6131.9862700000012</v>
      </c>
      <c r="F14" s="6">
        <f t="shared" si="3"/>
        <v>37601255.615468524</v>
      </c>
      <c r="G14" s="7">
        <f t="shared" si="4"/>
        <v>0.22711060259259264</v>
      </c>
      <c r="J14" s="7"/>
    </row>
    <row r="15" spans="1:26" ht="14.25" customHeight="1" x14ac:dyDescent="0.3">
      <c r="A15" s="4" t="s">
        <v>14</v>
      </c>
      <c r="B15" s="5">
        <v>26000</v>
      </c>
      <c r="C15" s="37">
        <f t="shared" si="0"/>
        <v>27613.198627000002</v>
      </c>
      <c r="D15" s="6">
        <f t="shared" si="1"/>
        <v>-1613.1986270000016</v>
      </c>
      <c r="E15" s="6">
        <f t="shared" si="2"/>
        <v>1613.1986270000016</v>
      </c>
      <c r="F15" s="6">
        <f t="shared" si="3"/>
        <v>2602409.8101546904</v>
      </c>
      <c r="G15" s="7">
        <f t="shared" si="4"/>
        <v>6.2046101038461601E-2</v>
      </c>
    </row>
    <row r="16" spans="1:26" ht="14.25" customHeight="1" x14ac:dyDescent="0.3">
      <c r="A16" s="4" t="s">
        <v>15</v>
      </c>
      <c r="B16" s="5">
        <v>24000</v>
      </c>
      <c r="C16" s="37">
        <f t="shared" si="0"/>
        <v>26161.319862700002</v>
      </c>
      <c r="D16" s="6">
        <f t="shared" si="1"/>
        <v>-2161.319862700002</v>
      </c>
      <c r="E16" s="6">
        <f>ABS(D16)</f>
        <v>2161.319862700002</v>
      </c>
      <c r="F16" s="6">
        <f t="shared" si="3"/>
        <v>4671303.5489015551</v>
      </c>
      <c r="G16" s="7">
        <f t="shared" si="4"/>
        <v>9.0054994279166745E-2</v>
      </c>
    </row>
    <row r="17" spans="1:26" ht="14.25" customHeight="1" x14ac:dyDescent="0.3">
      <c r="A17" s="11" t="s">
        <v>4</v>
      </c>
      <c r="B17" s="32">
        <f>0.7*B16+0.3*C16</f>
        <v>24648.395958810001</v>
      </c>
      <c r="D17" s="6"/>
      <c r="E17" s="6"/>
      <c r="G17" s="12"/>
    </row>
    <row r="18" spans="1:26" ht="14.25" customHeight="1" x14ac:dyDescent="0.3">
      <c r="D18" t="s">
        <v>112</v>
      </c>
    </row>
    <row r="19" spans="1:26" ht="14.25" customHeight="1" x14ac:dyDescent="0.3"/>
    <row r="20" spans="1:26" ht="14.25" customHeight="1" x14ac:dyDescent="0.3"/>
    <row r="21" spans="1:26" ht="14.25" customHeight="1" x14ac:dyDescent="0.3">
      <c r="A21" s="1" t="s">
        <v>36</v>
      </c>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2" t="s">
        <v>16</v>
      </c>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row r="24" spans="1:26" ht="14.25" customHeight="1" x14ac:dyDescent="0.3">
      <c r="A24" s="3" t="s">
        <v>17</v>
      </c>
      <c r="B24" s="3" t="s">
        <v>18</v>
      </c>
    </row>
    <row r="25" spans="1:26" ht="14.25" customHeight="1" x14ac:dyDescent="0.3">
      <c r="A25" s="4" t="s">
        <v>19</v>
      </c>
      <c r="B25" s="4">
        <v>18</v>
      </c>
    </row>
    <row r="26" spans="1:26" ht="14.25" customHeight="1" x14ac:dyDescent="0.3">
      <c r="A26" s="4" t="s">
        <v>20</v>
      </c>
      <c r="B26" s="4">
        <v>31</v>
      </c>
    </row>
    <row r="27" spans="1:26" ht="14.25" customHeight="1" x14ac:dyDescent="0.3">
      <c r="A27" s="4" t="s">
        <v>21</v>
      </c>
      <c r="B27" s="4">
        <v>31</v>
      </c>
    </row>
    <row r="28" spans="1:26" ht="14.25" customHeight="1" x14ac:dyDescent="0.3">
      <c r="A28" s="4" t="s">
        <v>22</v>
      </c>
      <c r="B28" s="4">
        <v>16</v>
      </c>
    </row>
    <row r="29" spans="1:26" ht="14.25" customHeight="1" x14ac:dyDescent="0.3">
      <c r="A29" s="4" t="s">
        <v>23</v>
      </c>
      <c r="B29" s="4">
        <v>12</v>
      </c>
    </row>
    <row r="30" spans="1:26" ht="14.25" customHeight="1" x14ac:dyDescent="0.3">
      <c r="A30" s="4" t="s">
        <v>24</v>
      </c>
      <c r="B30" s="4">
        <v>33</v>
      </c>
    </row>
    <row r="31" spans="1:26" ht="14.25" customHeight="1" x14ac:dyDescent="0.3">
      <c r="A31" s="4" t="s">
        <v>25</v>
      </c>
      <c r="B31" s="4">
        <v>30</v>
      </c>
    </row>
    <row r="32" spans="1:26" ht="14.25" customHeight="1" x14ac:dyDescent="0.3">
      <c r="A32" s="4" t="s">
        <v>26</v>
      </c>
      <c r="B32" s="4">
        <v>36</v>
      </c>
    </row>
    <row r="33" spans="1:2" ht="14.25" customHeight="1" x14ac:dyDescent="0.3">
      <c r="A33" s="4" t="s">
        <v>27</v>
      </c>
      <c r="B33" s="4">
        <v>15</v>
      </c>
    </row>
    <row r="34" spans="1:2" ht="14.25" customHeight="1" x14ac:dyDescent="0.3">
      <c r="A34" s="4" t="s">
        <v>28</v>
      </c>
      <c r="B34" s="4">
        <v>21</v>
      </c>
    </row>
    <row r="35" spans="1:2" ht="14.25" customHeight="1" x14ac:dyDescent="0.3">
      <c r="A35" s="4" t="s">
        <v>29</v>
      </c>
      <c r="B35" s="4">
        <v>20</v>
      </c>
    </row>
    <row r="36" spans="1:2" ht="14.25" customHeight="1" x14ac:dyDescent="0.3">
      <c r="A36" s="4" t="s">
        <v>30</v>
      </c>
      <c r="B36" s="4">
        <v>30</v>
      </c>
    </row>
    <row r="37" spans="1:2" ht="14.25" customHeight="1" x14ac:dyDescent="0.3">
      <c r="A37" s="4" t="s">
        <v>31</v>
      </c>
      <c r="B37" s="4">
        <v>33</v>
      </c>
    </row>
    <row r="38" spans="1:2" ht="14.25" customHeight="1" x14ac:dyDescent="0.3">
      <c r="A38" s="4" t="s">
        <v>32</v>
      </c>
      <c r="B38" s="4">
        <v>11</v>
      </c>
    </row>
    <row r="39" spans="1:2" ht="14.25" customHeight="1" x14ac:dyDescent="0.3">
      <c r="A39" s="4" t="s">
        <v>33</v>
      </c>
      <c r="B39" s="4">
        <v>38</v>
      </c>
    </row>
    <row r="40" spans="1:2" ht="14.25" customHeight="1" x14ac:dyDescent="0.3">
      <c r="A40" s="11" t="s">
        <v>34</v>
      </c>
    </row>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tabSelected="1" topLeftCell="I1" workbookViewId="0">
      <selection activeCell="R10" sqref="R10"/>
    </sheetView>
  </sheetViews>
  <sheetFormatPr defaultColWidth="14.44140625" defaultRowHeight="15" customHeight="1" x14ac:dyDescent="0.3"/>
  <cols>
    <col min="1" max="1" width="10.88671875" customWidth="1"/>
    <col min="2" max="2" width="9.88671875" customWidth="1"/>
    <col min="3" max="3" width="8.6640625" customWidth="1"/>
    <col min="4" max="4" width="14.6640625" customWidth="1"/>
    <col min="5" max="6" width="14" customWidth="1"/>
    <col min="7" max="7" width="10.77734375" customWidth="1"/>
    <col min="8" max="8" width="13.109375" customWidth="1"/>
    <col min="9" max="9" width="15.33203125" customWidth="1"/>
    <col min="10" max="10" width="15" customWidth="1"/>
    <col min="11" max="11" width="11.33203125" customWidth="1"/>
    <col min="12" max="16" width="20" customWidth="1"/>
    <col min="17" max="17" width="9.88671875" customWidth="1"/>
    <col min="18" max="18" width="15.44140625" customWidth="1"/>
    <col min="19" max="19" width="20.109375" customWidth="1"/>
    <col min="20" max="20" width="13.44140625" customWidth="1"/>
    <col min="21" max="30" width="8.6640625" customWidth="1"/>
  </cols>
  <sheetData>
    <row r="1" spans="1:30" ht="14.25" customHeight="1" x14ac:dyDescent="0.3">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25" customHeight="1" x14ac:dyDescent="0.3">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4.25" customHeight="1" x14ac:dyDescent="0.3">
      <c r="E3" t="s">
        <v>126</v>
      </c>
      <c r="F3" s="6">
        <f>INTERCEPT(D5:D16,B5:B16)</f>
        <v>47545.454545454544</v>
      </c>
      <c r="G3" t="s">
        <v>127</v>
      </c>
      <c r="H3" s="6">
        <f>SLOPE(D5:D16,B5:B16)</f>
        <v>-1468.5314685314686</v>
      </c>
    </row>
    <row r="4" spans="1:30" ht="14.25" customHeight="1" x14ac:dyDescent="0.3">
      <c r="B4" t="s">
        <v>119</v>
      </c>
      <c r="C4" s="3" t="s">
        <v>2</v>
      </c>
      <c r="D4" s="3" t="s">
        <v>37</v>
      </c>
      <c r="E4" s="29" t="s">
        <v>78</v>
      </c>
      <c r="F4" t="s">
        <v>137</v>
      </c>
      <c r="G4" s="29" t="s">
        <v>138</v>
      </c>
      <c r="H4" s="29" t="s">
        <v>79</v>
      </c>
      <c r="I4" s="29" t="s">
        <v>81</v>
      </c>
      <c r="J4" s="29" t="s">
        <v>84</v>
      </c>
      <c r="K4" s="30" t="s">
        <v>86</v>
      </c>
      <c r="M4" s="30"/>
      <c r="N4" t="s">
        <v>133</v>
      </c>
      <c r="O4" t="s">
        <v>134</v>
      </c>
      <c r="P4" t="s">
        <v>135</v>
      </c>
    </row>
    <row r="5" spans="1:30" ht="14.25" customHeight="1" x14ac:dyDescent="0.3">
      <c r="B5">
        <v>1</v>
      </c>
      <c r="C5" s="4" t="s">
        <v>4</v>
      </c>
      <c r="D5" s="5">
        <v>34000</v>
      </c>
      <c r="E5" s="6">
        <f>$F$3+($H$3*B5)</f>
        <v>46076.923076923078</v>
      </c>
      <c r="F5" s="12">
        <f>VLOOKUP(C5,$M$4:$P$16,4,FALSE)</f>
        <v>0.89473684210526316</v>
      </c>
      <c r="G5" s="6">
        <f>E5*F5</f>
        <v>41226.720647773283</v>
      </c>
      <c r="H5" s="46">
        <f>D5-G5</f>
        <v>-7226.7206477732834</v>
      </c>
      <c r="I5" s="13">
        <f>ABS(H5)</f>
        <v>7226.7206477732834</v>
      </c>
      <c r="J5" s="13">
        <f>I5^2</f>
        <v>52225491.320952706</v>
      </c>
      <c r="K5" s="26">
        <f>I5/D5</f>
        <v>0.21255060728744951</v>
      </c>
      <c r="M5" t="s">
        <v>4</v>
      </c>
      <c r="N5" s="44">
        <f>AVERAGEIF($C$5:$C$16,M5,$D$5:$D$16)</f>
        <v>34000</v>
      </c>
      <c r="O5" s="23">
        <f>AVERAGE($D$5:$D$16)</f>
        <v>38000</v>
      </c>
      <c r="P5" s="45">
        <f>N5/O5</f>
        <v>0.89473684210526316</v>
      </c>
      <c r="T5" s="6"/>
      <c r="U5" s="12"/>
    </row>
    <row r="6" spans="1:30" ht="14.25" customHeight="1" x14ac:dyDescent="0.3">
      <c r="B6">
        <v>2</v>
      </c>
      <c r="C6" s="4" t="s">
        <v>5</v>
      </c>
      <c r="D6" s="5">
        <v>37000</v>
      </c>
      <c r="E6" s="6">
        <f t="shared" ref="E6:E16" si="0">$F$3+($H$3*B6)</f>
        <v>44608.391608391605</v>
      </c>
      <c r="F6" s="12">
        <f t="shared" ref="F6:F16" si="1">VLOOKUP(C6,$M$4:$P$16,4,FALSE)</f>
        <v>0.97368421052631582</v>
      </c>
      <c r="G6" s="6">
        <f t="shared" ref="G6:G16" si="2">E6*F6</f>
        <v>43434.486566065512</v>
      </c>
      <c r="H6" s="46">
        <f t="shared" ref="H6:H16" si="3">D6-G6</f>
        <v>-6434.4865660655123</v>
      </c>
      <c r="I6" s="13">
        <f t="shared" ref="I6:I16" si="4">ABS(H6)</f>
        <v>6434.4865660655123</v>
      </c>
      <c r="J6" s="13">
        <f t="shared" ref="J6:J16" si="5">I6^2</f>
        <v>41402617.368877545</v>
      </c>
      <c r="K6" s="26">
        <f t="shared" ref="K6:K16" si="6">I6/D6</f>
        <v>0.17390504232609494</v>
      </c>
      <c r="M6" s="8" t="s">
        <v>5</v>
      </c>
      <c r="N6" s="44">
        <f t="shared" ref="N6:N16" si="7">AVERAGEIF($C$5:$C$16,M6,$D$5:$D$16)</f>
        <v>37000</v>
      </c>
      <c r="O6" s="23">
        <f t="shared" ref="O6:O16" si="8">AVERAGE($D$5:$D$16)</f>
        <v>38000</v>
      </c>
      <c r="P6" s="45">
        <f t="shared" ref="P6:P16" si="9">N6/O6</f>
        <v>0.97368421052631582</v>
      </c>
      <c r="Q6" s="6"/>
      <c r="T6" s="6"/>
      <c r="U6" s="12"/>
    </row>
    <row r="7" spans="1:30" ht="14.25" customHeight="1" x14ac:dyDescent="0.3">
      <c r="B7">
        <v>3</v>
      </c>
      <c r="C7" s="4" t="s">
        <v>6</v>
      </c>
      <c r="D7" s="5">
        <v>44000</v>
      </c>
      <c r="E7" s="6">
        <f t="shared" si="0"/>
        <v>43139.860139860139</v>
      </c>
      <c r="F7" s="12">
        <f t="shared" si="1"/>
        <v>1.1578947368421053</v>
      </c>
      <c r="G7" s="6">
        <f t="shared" si="2"/>
        <v>49951.417004048584</v>
      </c>
      <c r="H7" s="46">
        <f t="shared" si="3"/>
        <v>-5951.4170040485842</v>
      </c>
      <c r="I7" s="13">
        <f t="shared" si="4"/>
        <v>5951.4170040485842</v>
      </c>
      <c r="J7" s="13">
        <f t="shared" si="5"/>
        <v>35419364.356078625</v>
      </c>
      <c r="K7" s="26">
        <f t="shared" si="6"/>
        <v>0.13525947736474056</v>
      </c>
      <c r="M7" s="8" t="s">
        <v>6</v>
      </c>
      <c r="N7" s="44">
        <f t="shared" si="7"/>
        <v>44000</v>
      </c>
      <c r="O7" s="23">
        <f t="shared" si="8"/>
        <v>38000</v>
      </c>
      <c r="P7" s="45">
        <f t="shared" si="9"/>
        <v>1.1578947368421053</v>
      </c>
      <c r="Q7" s="9"/>
      <c r="T7" s="6"/>
      <c r="U7" s="12"/>
    </row>
    <row r="8" spans="1:30" ht="14.25" customHeight="1" x14ac:dyDescent="0.3">
      <c r="B8">
        <v>4</v>
      </c>
      <c r="C8" s="4" t="s">
        <v>7</v>
      </c>
      <c r="D8" s="5">
        <v>47000</v>
      </c>
      <c r="E8" s="6">
        <f t="shared" si="0"/>
        <v>41671.328671328672</v>
      </c>
      <c r="F8" s="12">
        <f t="shared" si="1"/>
        <v>1.236842105263158</v>
      </c>
      <c r="G8" s="6">
        <f t="shared" si="2"/>
        <v>51540.853882959149</v>
      </c>
      <c r="H8" s="46">
        <f t="shared" si="3"/>
        <v>-4540.8538829591489</v>
      </c>
      <c r="I8" s="13">
        <f t="shared" si="4"/>
        <v>4540.8538829591489</v>
      </c>
      <c r="J8" s="13">
        <f t="shared" si="5"/>
        <v>20619353.986385182</v>
      </c>
      <c r="K8" s="26">
        <f t="shared" si="6"/>
        <v>9.661391240338614E-2</v>
      </c>
      <c r="M8" t="s">
        <v>7</v>
      </c>
      <c r="N8" s="44">
        <f t="shared" si="7"/>
        <v>47000</v>
      </c>
      <c r="O8" s="23">
        <f t="shared" si="8"/>
        <v>38000</v>
      </c>
      <c r="P8" s="45">
        <f t="shared" si="9"/>
        <v>1.236842105263158</v>
      </c>
      <c r="T8" s="6"/>
      <c r="U8" s="12"/>
    </row>
    <row r="9" spans="1:30" ht="14.25" customHeight="1" x14ac:dyDescent="0.3">
      <c r="B9">
        <v>5</v>
      </c>
      <c r="C9" s="4" t="s">
        <v>8</v>
      </c>
      <c r="D9" s="5">
        <v>48000</v>
      </c>
      <c r="E9" s="6">
        <f t="shared" si="0"/>
        <v>40202.797202797199</v>
      </c>
      <c r="F9" s="12">
        <f t="shared" si="1"/>
        <v>1.263157894736842</v>
      </c>
      <c r="G9" s="6">
        <f t="shared" si="2"/>
        <v>50782.480677217514</v>
      </c>
      <c r="H9" s="46">
        <f t="shared" si="3"/>
        <v>-2782.4806772175143</v>
      </c>
      <c r="I9" s="13">
        <f t="shared" si="4"/>
        <v>2782.4806772175143</v>
      </c>
      <c r="J9" s="13">
        <f t="shared" si="5"/>
        <v>7742198.7190888375</v>
      </c>
      <c r="K9" s="26">
        <f t="shared" si="6"/>
        <v>5.7968347442031547E-2</v>
      </c>
      <c r="M9" s="8" t="s">
        <v>8</v>
      </c>
      <c r="N9" s="44">
        <f t="shared" si="7"/>
        <v>48000</v>
      </c>
      <c r="O9" s="23">
        <f t="shared" si="8"/>
        <v>38000</v>
      </c>
      <c r="P9" s="45">
        <f t="shared" si="9"/>
        <v>1.263157894736842</v>
      </c>
      <c r="S9" s="39" t="s">
        <v>129</v>
      </c>
      <c r="T9" s="40">
        <f>AVERAGE(I5:I16)</f>
        <v>3967.6113360323893</v>
      </c>
      <c r="U9" s="12"/>
    </row>
    <row r="10" spans="1:30" ht="14.25" customHeight="1" x14ac:dyDescent="0.3">
      <c r="B10">
        <v>6</v>
      </c>
      <c r="C10" s="4" t="s">
        <v>9</v>
      </c>
      <c r="D10" s="5">
        <v>48000</v>
      </c>
      <c r="E10" s="6">
        <f t="shared" si="0"/>
        <v>38734.265734265733</v>
      </c>
      <c r="F10" s="12">
        <f t="shared" si="1"/>
        <v>1.263157894736842</v>
      </c>
      <c r="G10" s="6">
        <f t="shared" si="2"/>
        <v>48927.4935590725</v>
      </c>
      <c r="H10" s="46">
        <f t="shared" si="3"/>
        <v>-927.49355907249992</v>
      </c>
      <c r="I10" s="13">
        <f t="shared" si="4"/>
        <v>927.49355907249992</v>
      </c>
      <c r="J10" s="13">
        <f t="shared" si="5"/>
        <v>860244.30212097289</v>
      </c>
      <c r="K10" s="26">
        <f t="shared" si="6"/>
        <v>1.9322782480677082E-2</v>
      </c>
      <c r="M10" s="8" t="s">
        <v>9</v>
      </c>
      <c r="N10" s="44">
        <f t="shared" si="7"/>
        <v>48000</v>
      </c>
      <c r="O10" s="23">
        <f t="shared" si="8"/>
        <v>38000</v>
      </c>
      <c r="P10" s="45">
        <f t="shared" si="9"/>
        <v>1.263157894736842</v>
      </c>
      <c r="S10" s="39" t="s">
        <v>130</v>
      </c>
      <c r="T10" s="40">
        <f>AVERAGE(J5:J16)</f>
        <v>19552885.0302401</v>
      </c>
      <c r="U10" s="12"/>
    </row>
    <row r="11" spans="1:30" ht="14.25" customHeight="1" x14ac:dyDescent="0.3">
      <c r="B11">
        <v>7</v>
      </c>
      <c r="C11" s="4" t="s">
        <v>10</v>
      </c>
      <c r="D11" s="5">
        <v>46000</v>
      </c>
      <c r="E11" s="6">
        <f t="shared" si="0"/>
        <v>37265.734265734267</v>
      </c>
      <c r="F11" s="12">
        <f t="shared" si="1"/>
        <v>1.2105263157894737</v>
      </c>
      <c r="G11" s="6">
        <f t="shared" si="2"/>
        <v>45111.152005888849</v>
      </c>
      <c r="H11" s="46">
        <f t="shared" si="3"/>
        <v>888.84799411115091</v>
      </c>
      <c r="I11" s="13">
        <f t="shared" si="4"/>
        <v>888.84799411115091</v>
      </c>
      <c r="J11" s="13">
        <f t="shared" si="5"/>
        <v>790050.75663541653</v>
      </c>
      <c r="K11" s="26">
        <f t="shared" si="6"/>
        <v>1.9322782480677193E-2</v>
      </c>
      <c r="M11" t="s">
        <v>10</v>
      </c>
      <c r="N11" s="44">
        <f t="shared" si="7"/>
        <v>46000</v>
      </c>
      <c r="O11" s="23">
        <f t="shared" si="8"/>
        <v>38000</v>
      </c>
      <c r="P11" s="45">
        <f t="shared" si="9"/>
        <v>1.2105263157894737</v>
      </c>
      <c r="S11" s="41" t="s">
        <v>90</v>
      </c>
      <c r="T11" s="42">
        <f>AVERAGE(K5:K16)</f>
        <v>0.11593669488406334</v>
      </c>
      <c r="U11" s="12"/>
    </row>
    <row r="12" spans="1:30" ht="14.25" customHeight="1" x14ac:dyDescent="0.3">
      <c r="B12">
        <v>8</v>
      </c>
      <c r="C12" s="4" t="s">
        <v>11</v>
      </c>
      <c r="D12" s="5">
        <v>43000</v>
      </c>
      <c r="E12" s="6">
        <f t="shared" si="0"/>
        <v>35797.202797202794</v>
      </c>
      <c r="F12" s="12">
        <f t="shared" si="1"/>
        <v>1.131578947368421</v>
      </c>
      <c r="G12" s="6">
        <f t="shared" si="2"/>
        <v>40507.361059992632</v>
      </c>
      <c r="H12" s="46">
        <f t="shared" si="3"/>
        <v>2492.6389400073676</v>
      </c>
      <c r="I12" s="13">
        <f t="shared" si="4"/>
        <v>2492.6389400073676</v>
      </c>
      <c r="J12" s="13">
        <f t="shared" si="5"/>
        <v>6213248.8852410531</v>
      </c>
      <c r="K12" s="26">
        <f t="shared" si="6"/>
        <v>5.7968347442031803E-2</v>
      </c>
      <c r="M12" s="8" t="s">
        <v>11</v>
      </c>
      <c r="N12" s="44">
        <f t="shared" si="7"/>
        <v>43000</v>
      </c>
      <c r="O12" s="23">
        <f t="shared" si="8"/>
        <v>38000</v>
      </c>
      <c r="P12" s="45">
        <f t="shared" si="9"/>
        <v>1.131578947368421</v>
      </c>
      <c r="S12" s="43"/>
      <c r="T12" s="43"/>
      <c r="U12" s="12"/>
    </row>
    <row r="13" spans="1:30" ht="14.25" customHeight="1" x14ac:dyDescent="0.3">
      <c r="B13">
        <v>9</v>
      </c>
      <c r="C13" s="4" t="s">
        <v>12</v>
      </c>
      <c r="D13" s="5">
        <v>32000</v>
      </c>
      <c r="E13" s="6">
        <f t="shared" si="0"/>
        <v>34328.671328671328</v>
      </c>
      <c r="F13" s="12">
        <f t="shared" si="1"/>
        <v>0.84210526315789469</v>
      </c>
      <c r="G13" s="6">
        <f t="shared" si="2"/>
        <v>28908.354803091643</v>
      </c>
      <c r="H13" s="46">
        <f t="shared" si="3"/>
        <v>3091.6451969083573</v>
      </c>
      <c r="I13" s="13">
        <f t="shared" si="4"/>
        <v>3091.6451969083573</v>
      </c>
      <c r="J13" s="13">
        <f t="shared" si="5"/>
        <v>9558270.0235665161</v>
      </c>
      <c r="K13" s="26">
        <f t="shared" si="6"/>
        <v>9.6613912403386168E-2</v>
      </c>
      <c r="M13" s="8" t="s">
        <v>12</v>
      </c>
      <c r="N13" s="44">
        <f t="shared" si="7"/>
        <v>32000</v>
      </c>
      <c r="O13" s="23">
        <f t="shared" si="8"/>
        <v>38000</v>
      </c>
      <c r="P13" s="45">
        <f t="shared" si="9"/>
        <v>0.84210526315789469</v>
      </c>
      <c r="S13" s="41"/>
      <c r="T13" s="41"/>
      <c r="U13" s="12"/>
    </row>
    <row r="14" spans="1:30" ht="14.25" customHeight="1" x14ac:dyDescent="0.3">
      <c r="B14">
        <v>10</v>
      </c>
      <c r="C14" s="4" t="s">
        <v>13</v>
      </c>
      <c r="D14" s="5">
        <v>27000</v>
      </c>
      <c r="E14" s="6">
        <f t="shared" si="0"/>
        <v>32860.139860139854</v>
      </c>
      <c r="F14" s="12">
        <f t="shared" si="1"/>
        <v>0.71052631578947367</v>
      </c>
      <c r="G14" s="6">
        <f t="shared" si="2"/>
        <v>23347.994111152002</v>
      </c>
      <c r="H14" s="46">
        <f t="shared" si="3"/>
        <v>3652.005888847998</v>
      </c>
      <c r="I14" s="13">
        <f t="shared" si="4"/>
        <v>3652.005888847998</v>
      </c>
      <c r="J14" s="13">
        <f t="shared" si="5"/>
        <v>13337147.012180455</v>
      </c>
      <c r="K14" s="26">
        <f t="shared" si="6"/>
        <v>0.13525947736474067</v>
      </c>
      <c r="M14" t="s">
        <v>13</v>
      </c>
      <c r="N14" s="44">
        <f t="shared" si="7"/>
        <v>27000</v>
      </c>
      <c r="O14" s="23">
        <f t="shared" si="8"/>
        <v>38000</v>
      </c>
      <c r="P14" s="45">
        <f t="shared" si="9"/>
        <v>0.71052631578947367</v>
      </c>
      <c r="S14" s="41" t="s">
        <v>139</v>
      </c>
      <c r="T14" s="42">
        <f>100%-T11</f>
        <v>0.88406330511593667</v>
      </c>
      <c r="U14" s="12"/>
    </row>
    <row r="15" spans="1:30" ht="14.25" customHeight="1" x14ac:dyDescent="0.3">
      <c r="B15">
        <v>11</v>
      </c>
      <c r="C15" s="4" t="s">
        <v>14</v>
      </c>
      <c r="D15" s="5">
        <v>26000</v>
      </c>
      <c r="E15" s="6">
        <f t="shared" si="0"/>
        <v>31391.608391608388</v>
      </c>
      <c r="F15" s="12">
        <f t="shared" si="1"/>
        <v>0.68421052631578949</v>
      </c>
      <c r="G15" s="6">
        <f t="shared" si="2"/>
        <v>21478.468899521529</v>
      </c>
      <c r="H15" s="46">
        <f t="shared" si="3"/>
        <v>4521.5311004784708</v>
      </c>
      <c r="I15" s="13">
        <f t="shared" si="4"/>
        <v>4521.5311004784708</v>
      </c>
      <c r="J15" s="13">
        <f t="shared" si="5"/>
        <v>20444243.492594052</v>
      </c>
      <c r="K15" s="26">
        <f t="shared" si="6"/>
        <v>0.17390504232609502</v>
      </c>
      <c r="M15" s="8" t="s">
        <v>14</v>
      </c>
      <c r="N15" s="44">
        <f t="shared" si="7"/>
        <v>26000</v>
      </c>
      <c r="O15" s="23">
        <f t="shared" si="8"/>
        <v>38000</v>
      </c>
      <c r="P15" s="45">
        <f t="shared" si="9"/>
        <v>0.68421052631578949</v>
      </c>
      <c r="T15" s="6"/>
      <c r="U15" s="12"/>
    </row>
    <row r="16" spans="1:30" ht="14.25" customHeight="1" x14ac:dyDescent="0.3">
      <c r="B16">
        <v>12</v>
      </c>
      <c r="C16" s="4" t="s">
        <v>15</v>
      </c>
      <c r="D16" s="5">
        <v>24000</v>
      </c>
      <c r="E16" s="6">
        <f t="shared" si="0"/>
        <v>29923.076923076922</v>
      </c>
      <c r="F16" s="12">
        <f t="shared" si="1"/>
        <v>0.63157894736842102</v>
      </c>
      <c r="G16" s="6">
        <f t="shared" si="2"/>
        <v>18898.785425101214</v>
      </c>
      <c r="H16" s="46">
        <f t="shared" si="3"/>
        <v>5101.2145748987859</v>
      </c>
      <c r="I16" s="13">
        <f t="shared" si="4"/>
        <v>5101.2145748987859</v>
      </c>
      <c r="J16" s="13">
        <f t="shared" si="5"/>
        <v>26022390.139159802</v>
      </c>
      <c r="K16" s="26">
        <f t="shared" si="6"/>
        <v>0.21255060728744943</v>
      </c>
      <c r="M16" s="8" t="s">
        <v>15</v>
      </c>
      <c r="N16" s="44">
        <f t="shared" si="7"/>
        <v>24000</v>
      </c>
      <c r="O16" s="23">
        <f t="shared" si="8"/>
        <v>38000</v>
      </c>
      <c r="P16" s="45">
        <f t="shared" si="9"/>
        <v>0.63157894736842102</v>
      </c>
      <c r="T16" s="6"/>
      <c r="U16" s="12"/>
    </row>
    <row r="17" spans="1:30" ht="14.25" customHeight="1" x14ac:dyDescent="0.3">
      <c r="D17" s="12"/>
      <c r="E17" s="12"/>
      <c r="F17" s="6"/>
    </row>
    <row r="18" spans="1:30" ht="14.25" customHeight="1" x14ac:dyDescent="0.3">
      <c r="E18" t="s">
        <v>136</v>
      </c>
    </row>
    <row r="19" spans="1:30" ht="14.25" customHeight="1" x14ac:dyDescent="0.3">
      <c r="E19" t="s">
        <v>132</v>
      </c>
    </row>
    <row r="20" spans="1:30" ht="14.25" customHeight="1" x14ac:dyDescent="0.3">
      <c r="E20" t="s">
        <v>128</v>
      </c>
      <c r="H20" t="s">
        <v>131</v>
      </c>
    </row>
    <row r="21" spans="1:30" ht="14.25" customHeight="1" x14ac:dyDescent="0.3">
      <c r="A21" s="1" t="s">
        <v>38</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4.25" customHeight="1" x14ac:dyDescent="0.3">
      <c r="A22" s="2" t="s">
        <v>16</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14.25" customHeight="1" x14ac:dyDescent="0.3"/>
    <row r="24" spans="1:30" ht="14.25" customHeight="1" x14ac:dyDescent="0.3">
      <c r="A24" s="3" t="s">
        <v>17</v>
      </c>
      <c r="B24" s="3" t="s">
        <v>18</v>
      </c>
    </row>
    <row r="25" spans="1:30" ht="14.25" customHeight="1" x14ac:dyDescent="0.3">
      <c r="A25" s="4" t="s">
        <v>19</v>
      </c>
      <c r="B25" s="4">
        <v>18</v>
      </c>
    </row>
    <row r="26" spans="1:30" ht="14.25" customHeight="1" x14ac:dyDescent="0.3">
      <c r="A26" s="4" t="s">
        <v>20</v>
      </c>
      <c r="B26" s="4">
        <v>31</v>
      </c>
    </row>
    <row r="27" spans="1:30" ht="14.25" customHeight="1" x14ac:dyDescent="0.3">
      <c r="A27" s="4" t="s">
        <v>21</v>
      </c>
      <c r="B27" s="4">
        <v>31</v>
      </c>
    </row>
    <row r="28" spans="1:30" ht="14.25" customHeight="1" x14ac:dyDescent="0.3">
      <c r="A28" s="4" t="s">
        <v>22</v>
      </c>
      <c r="B28" s="4">
        <v>16</v>
      </c>
    </row>
    <row r="29" spans="1:30" ht="14.25" customHeight="1" x14ac:dyDescent="0.3">
      <c r="A29" s="4" t="s">
        <v>23</v>
      </c>
      <c r="B29" s="4">
        <v>12</v>
      </c>
    </row>
    <row r="30" spans="1:30" ht="14.25" customHeight="1" x14ac:dyDescent="0.3">
      <c r="A30" s="4" t="s">
        <v>24</v>
      </c>
      <c r="B30" s="4">
        <v>33</v>
      </c>
    </row>
    <row r="31" spans="1:30" ht="14.25" customHeight="1" x14ac:dyDescent="0.3">
      <c r="A31" s="4" t="s">
        <v>25</v>
      </c>
      <c r="B31" s="4">
        <v>30</v>
      </c>
    </row>
    <row r="32" spans="1:30" ht="14.25" customHeight="1" x14ac:dyDescent="0.3">
      <c r="A32" s="4" t="s">
        <v>26</v>
      </c>
      <c r="B32" s="4">
        <v>36</v>
      </c>
    </row>
    <row r="33" spans="1:2" ht="14.25" customHeight="1" x14ac:dyDescent="0.3">
      <c r="A33" s="4" t="s">
        <v>27</v>
      </c>
      <c r="B33" s="4">
        <v>15</v>
      </c>
    </row>
    <row r="34" spans="1:2" ht="14.25" customHeight="1" x14ac:dyDescent="0.3">
      <c r="A34" s="4" t="s">
        <v>28</v>
      </c>
      <c r="B34" s="4">
        <v>21</v>
      </c>
    </row>
    <row r="35" spans="1:2" ht="14.25" customHeight="1" x14ac:dyDescent="0.3">
      <c r="A35" s="4" t="s">
        <v>29</v>
      </c>
      <c r="B35" s="4">
        <v>20</v>
      </c>
    </row>
    <row r="36" spans="1:2" ht="14.25" customHeight="1" x14ac:dyDescent="0.3">
      <c r="A36" s="4" t="s">
        <v>30</v>
      </c>
      <c r="B36" s="4">
        <v>30</v>
      </c>
    </row>
    <row r="37" spans="1:2" ht="14.25" customHeight="1" x14ac:dyDescent="0.3">
      <c r="A37" s="4" t="s">
        <v>31</v>
      </c>
      <c r="B37" s="4">
        <v>33</v>
      </c>
    </row>
    <row r="38" spans="1:2" ht="14.25" customHeight="1" x14ac:dyDescent="0.3">
      <c r="A38" s="4" t="s">
        <v>32</v>
      </c>
      <c r="B38" s="4">
        <v>11</v>
      </c>
    </row>
    <row r="39" spans="1:2" ht="14.25" customHeight="1" x14ac:dyDescent="0.3">
      <c r="A39" s="4" t="s">
        <v>33</v>
      </c>
      <c r="B39" s="4">
        <v>38</v>
      </c>
    </row>
    <row r="40" spans="1:2" ht="14.25" customHeight="1" x14ac:dyDescent="0.3">
      <c r="A40" s="11" t="s">
        <v>34</v>
      </c>
    </row>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honeticPr fontId="11" type="noConversion"/>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E19A-10D6-48A1-8345-77D9AC0594A4}">
  <dimension ref="A1:A6"/>
  <sheetViews>
    <sheetView showGridLines="0" workbookViewId="0">
      <selection activeCell="C9" sqref="C9"/>
    </sheetView>
  </sheetViews>
  <sheetFormatPr defaultRowHeight="14.4" x14ac:dyDescent="0.3"/>
  <sheetData>
    <row r="1" spans="1:1" x14ac:dyDescent="0.3">
      <c r="A1" t="s">
        <v>113</v>
      </c>
    </row>
    <row r="3" spans="1:1" x14ac:dyDescent="0.3">
      <c r="A3" t="s">
        <v>114</v>
      </c>
    </row>
    <row r="4" spans="1:1" x14ac:dyDescent="0.3">
      <c r="A4" t="s">
        <v>115</v>
      </c>
    </row>
    <row r="5" spans="1:1" x14ac:dyDescent="0.3">
      <c r="A5" t="s">
        <v>116</v>
      </c>
    </row>
    <row r="6" spans="1:1" x14ac:dyDescent="0.3">
      <c r="A6"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29A72-C58A-4BB0-A3C9-AE21F2E26329}">
  <dimension ref="A1:E16"/>
  <sheetViews>
    <sheetView workbookViewId="0">
      <selection activeCell="C16" sqref="C16"/>
    </sheetView>
  </sheetViews>
  <sheetFormatPr defaultRowHeight="14.4" x14ac:dyDescent="0.3"/>
  <cols>
    <col min="3" max="3" width="15.44140625" customWidth="1"/>
    <col min="4" max="4" width="29.5546875" customWidth="1"/>
    <col min="5" max="5" width="29.6640625" customWidth="1"/>
  </cols>
  <sheetData>
    <row r="1" spans="1:5" x14ac:dyDescent="0.3">
      <c r="A1" t="s">
        <v>119</v>
      </c>
      <c r="B1" t="s">
        <v>37</v>
      </c>
      <c r="C1" t="s">
        <v>120</v>
      </c>
      <c r="D1" t="s">
        <v>121</v>
      </c>
      <c r="E1" t="s">
        <v>122</v>
      </c>
    </row>
    <row r="2" spans="1:5" x14ac:dyDescent="0.3">
      <c r="A2">
        <v>1</v>
      </c>
      <c r="B2" s="23">
        <v>34000</v>
      </c>
    </row>
    <row r="3" spans="1:5" x14ac:dyDescent="0.3">
      <c r="A3">
        <v>2</v>
      </c>
      <c r="B3" s="23">
        <v>37000</v>
      </c>
    </row>
    <row r="4" spans="1:5" x14ac:dyDescent="0.3">
      <c r="A4">
        <v>3</v>
      </c>
      <c r="B4" s="23">
        <v>44000</v>
      </c>
    </row>
    <row r="5" spans="1:5" x14ac:dyDescent="0.3">
      <c r="A5">
        <v>4</v>
      </c>
      <c r="B5" s="23">
        <v>47000</v>
      </c>
    </row>
    <row r="6" spans="1:5" x14ac:dyDescent="0.3">
      <c r="A6">
        <v>5</v>
      </c>
      <c r="B6" s="23">
        <v>48000</v>
      </c>
    </row>
    <row r="7" spans="1:5" x14ac:dyDescent="0.3">
      <c r="A7">
        <v>6</v>
      </c>
      <c r="B7" s="23">
        <v>48000</v>
      </c>
    </row>
    <row r="8" spans="1:5" x14ac:dyDescent="0.3">
      <c r="A8">
        <v>7</v>
      </c>
      <c r="B8" s="23">
        <v>46000</v>
      </c>
    </row>
    <row r="9" spans="1:5" x14ac:dyDescent="0.3">
      <c r="A9">
        <v>8</v>
      </c>
      <c r="B9" s="23">
        <v>43000</v>
      </c>
    </row>
    <row r="10" spans="1:5" x14ac:dyDescent="0.3">
      <c r="A10">
        <v>9</v>
      </c>
      <c r="B10" s="23">
        <v>32000</v>
      </c>
    </row>
    <row r="11" spans="1:5" x14ac:dyDescent="0.3">
      <c r="A11">
        <v>10</v>
      </c>
      <c r="B11" s="23">
        <v>27000</v>
      </c>
    </row>
    <row r="12" spans="1:5" x14ac:dyDescent="0.3">
      <c r="A12">
        <v>11</v>
      </c>
      <c r="B12" s="23">
        <v>26000</v>
      </c>
    </row>
    <row r="13" spans="1:5" x14ac:dyDescent="0.3">
      <c r="A13">
        <v>12</v>
      </c>
      <c r="B13" s="23">
        <v>24000</v>
      </c>
      <c r="C13" s="23">
        <v>24000</v>
      </c>
      <c r="D13" s="23">
        <v>24000</v>
      </c>
      <c r="E13" s="23">
        <v>24000</v>
      </c>
    </row>
    <row r="14" spans="1:5" x14ac:dyDescent="0.3">
      <c r="A14">
        <v>13</v>
      </c>
      <c r="C14" s="23">
        <f>_xlfn.FORECAST.ETS(A14,$B$2:$B$13,$A$2:$A$13,1,1)</f>
        <v>22631.983687661588</v>
      </c>
      <c r="D14" s="23">
        <f>C14-_xlfn.FORECAST.ETS.CONFINT(A14,$B$2:$B$13,$A$2:$A$13,0.95,1,1)</f>
        <v>14810.469164882088</v>
      </c>
      <c r="E14" s="23">
        <f>C14+_xlfn.FORECAST.ETS.CONFINT(A14,$B$2:$B$13,$A$2:$A$13,0.95,1,1)</f>
        <v>30453.498210441088</v>
      </c>
    </row>
    <row r="15" spans="1:5" x14ac:dyDescent="0.3">
      <c r="A15">
        <v>14</v>
      </c>
      <c r="C15" s="23">
        <f>_xlfn.FORECAST.ETS(A15,$B$2:$B$13,$A$2:$A$13,1,1)</f>
        <v>21233.710196511893</v>
      </c>
      <c r="D15" s="23">
        <f>C15-_xlfn.FORECAST.ETS.CONFINT(A15,$B$2:$B$13,$A$2:$A$13,0.95,1,1)</f>
        <v>5135.0628484408116</v>
      </c>
      <c r="E15" s="23">
        <f>C15+_xlfn.FORECAST.ETS.CONFINT(A15,$B$2:$B$13,$A$2:$A$13,0.95,1,1)</f>
        <v>37332.357544582977</v>
      </c>
    </row>
    <row r="16" spans="1:5" x14ac:dyDescent="0.3">
      <c r="A16">
        <v>15</v>
      </c>
      <c r="C16" s="23">
        <f>_xlfn.FORECAST.ETS(A16,$B$2:$B$13,$A$2:$A$13,1,1)</f>
        <v>19835.436705362197</v>
      </c>
      <c r="D16" s="23">
        <f>C16-_xlfn.FORECAST.ETS.CONFINT(A16,$B$2:$B$13,$A$2:$A$13,0.95,1,1)</f>
        <v>-6706.5994132391497</v>
      </c>
      <c r="E16" s="23">
        <f>C16+_xlfn.FORECAST.ETS.CONFINT(A16,$B$2:$B$13,$A$2:$A$13,0.95,1,1)</f>
        <v>46377.472823963544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C7" sqref="A4:C17"/>
    </sheetView>
  </sheetViews>
  <sheetFormatPr defaultColWidth="14.44140625" defaultRowHeight="15" customHeight="1" x14ac:dyDescent="0.3"/>
  <cols>
    <col min="1" max="1" width="10.44140625" customWidth="1"/>
    <col min="2" max="2" width="9.88671875" customWidth="1"/>
    <col min="3" max="26" width="8.6640625" customWidth="1"/>
  </cols>
  <sheetData>
    <row r="1" spans="1:26" ht="14.25" customHeight="1" x14ac:dyDescent="0.3">
      <c r="A1" s="1" t="s">
        <v>39</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2" t="s">
        <v>1</v>
      </c>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3"/>
    <row r="4" spans="1:26" ht="14.25" customHeight="1" x14ac:dyDescent="0.3">
      <c r="A4" t="s">
        <v>119</v>
      </c>
      <c r="B4" s="3" t="s">
        <v>2</v>
      </c>
      <c r="C4" s="3" t="s">
        <v>37</v>
      </c>
    </row>
    <row r="5" spans="1:26" ht="14.25" customHeight="1" x14ac:dyDescent="0.3">
      <c r="A5">
        <v>1</v>
      </c>
      <c r="B5" s="4" t="s">
        <v>4</v>
      </c>
      <c r="C5" s="5">
        <v>34000</v>
      </c>
    </row>
    <row r="6" spans="1:26" ht="14.25" customHeight="1" x14ac:dyDescent="0.3">
      <c r="A6">
        <v>2</v>
      </c>
      <c r="B6" s="4" t="s">
        <v>5</v>
      </c>
      <c r="C6" s="5">
        <v>37000</v>
      </c>
    </row>
    <row r="7" spans="1:26" ht="14.25" customHeight="1" x14ac:dyDescent="0.3">
      <c r="A7">
        <v>3</v>
      </c>
      <c r="B7" s="4" t="s">
        <v>6</v>
      </c>
      <c r="C7" s="5">
        <v>44000</v>
      </c>
    </row>
    <row r="8" spans="1:26" ht="14.25" customHeight="1" x14ac:dyDescent="0.3">
      <c r="A8">
        <v>4</v>
      </c>
      <c r="B8" s="4" t="s">
        <v>7</v>
      </c>
      <c r="C8" s="5">
        <v>47000</v>
      </c>
    </row>
    <row r="9" spans="1:26" ht="14.25" customHeight="1" x14ac:dyDescent="0.3">
      <c r="A9">
        <v>5</v>
      </c>
      <c r="B9" s="4" t="s">
        <v>8</v>
      </c>
      <c r="C9" s="5">
        <v>48000</v>
      </c>
    </row>
    <row r="10" spans="1:26" ht="14.25" customHeight="1" x14ac:dyDescent="0.3">
      <c r="A10">
        <v>6</v>
      </c>
      <c r="B10" s="4" t="s">
        <v>9</v>
      </c>
      <c r="C10" s="5">
        <v>48000</v>
      </c>
    </row>
    <row r="11" spans="1:26" ht="14.25" customHeight="1" x14ac:dyDescent="0.3">
      <c r="A11">
        <v>7</v>
      </c>
      <c r="B11" s="4" t="s">
        <v>10</v>
      </c>
      <c r="C11" s="5">
        <v>46000</v>
      </c>
    </row>
    <row r="12" spans="1:26" ht="14.25" customHeight="1" x14ac:dyDescent="0.3">
      <c r="A12">
        <v>8</v>
      </c>
      <c r="B12" s="4" t="s">
        <v>11</v>
      </c>
      <c r="C12" s="5">
        <v>43000</v>
      </c>
    </row>
    <row r="13" spans="1:26" ht="14.25" customHeight="1" x14ac:dyDescent="0.3">
      <c r="A13">
        <v>9</v>
      </c>
      <c r="B13" s="4" t="s">
        <v>12</v>
      </c>
      <c r="C13" s="5">
        <v>32000</v>
      </c>
    </row>
    <row r="14" spans="1:26" ht="14.25" customHeight="1" x14ac:dyDescent="0.3">
      <c r="A14">
        <v>10</v>
      </c>
      <c r="B14" s="4" t="s">
        <v>13</v>
      </c>
      <c r="C14" s="5">
        <v>27000</v>
      </c>
    </row>
    <row r="15" spans="1:26" ht="14.25" customHeight="1" x14ac:dyDescent="0.3">
      <c r="A15">
        <v>11</v>
      </c>
      <c r="B15" s="4" t="s">
        <v>14</v>
      </c>
      <c r="C15" s="5">
        <v>26000</v>
      </c>
    </row>
    <row r="16" spans="1:26" ht="14.25" customHeight="1" x14ac:dyDescent="0.3">
      <c r="A16">
        <v>12</v>
      </c>
      <c r="B16" s="4" t="s">
        <v>15</v>
      </c>
      <c r="C16" s="5">
        <v>24000</v>
      </c>
    </row>
    <row r="17" spans="1:26" ht="14.25" customHeight="1" x14ac:dyDescent="0.3">
      <c r="B17" s="11" t="s">
        <v>4</v>
      </c>
    </row>
    <row r="18" spans="1:26" ht="14.25" customHeight="1" x14ac:dyDescent="0.3"/>
    <row r="19" spans="1:26" ht="14.25" customHeight="1" x14ac:dyDescent="0.3">
      <c r="C19" t="s">
        <v>118</v>
      </c>
    </row>
    <row r="20" spans="1:26" ht="14.25" customHeight="1" x14ac:dyDescent="0.3"/>
    <row r="21" spans="1:26" ht="14.25" customHeight="1" x14ac:dyDescent="0.3">
      <c r="A21" s="1" t="s">
        <v>39</v>
      </c>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2" t="s">
        <v>16</v>
      </c>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row r="24" spans="1:26" ht="14.25" customHeight="1" x14ac:dyDescent="0.3">
      <c r="A24" s="3" t="s">
        <v>17</v>
      </c>
      <c r="B24" s="3" t="s">
        <v>18</v>
      </c>
    </row>
    <row r="25" spans="1:26" ht="14.25" customHeight="1" x14ac:dyDescent="0.3">
      <c r="A25" s="4" t="s">
        <v>19</v>
      </c>
      <c r="B25" s="4">
        <v>18</v>
      </c>
    </row>
    <row r="26" spans="1:26" ht="14.25" customHeight="1" x14ac:dyDescent="0.3">
      <c r="A26" s="4" t="s">
        <v>20</v>
      </c>
      <c r="B26" s="4">
        <v>31</v>
      </c>
    </row>
    <row r="27" spans="1:26" ht="14.25" customHeight="1" x14ac:dyDescent="0.3">
      <c r="A27" s="4" t="s">
        <v>21</v>
      </c>
      <c r="B27" s="4">
        <v>31</v>
      </c>
    </row>
    <row r="28" spans="1:26" ht="14.25" customHeight="1" x14ac:dyDescent="0.3">
      <c r="A28" s="4" t="s">
        <v>22</v>
      </c>
      <c r="B28" s="4">
        <v>16</v>
      </c>
    </row>
    <row r="29" spans="1:26" ht="14.25" customHeight="1" x14ac:dyDescent="0.3">
      <c r="A29" s="4" t="s">
        <v>23</v>
      </c>
      <c r="B29" s="4">
        <v>12</v>
      </c>
    </row>
    <row r="30" spans="1:26" ht="14.25" customHeight="1" x14ac:dyDescent="0.3">
      <c r="A30" s="4" t="s">
        <v>24</v>
      </c>
      <c r="B30" s="4">
        <v>33</v>
      </c>
    </row>
    <row r="31" spans="1:26" ht="14.25" customHeight="1" x14ac:dyDescent="0.3">
      <c r="A31" s="4" t="s">
        <v>25</v>
      </c>
      <c r="B31" s="4">
        <v>30</v>
      </c>
    </row>
    <row r="32" spans="1:26" ht="14.25" customHeight="1" x14ac:dyDescent="0.3">
      <c r="A32" s="4" t="s">
        <v>26</v>
      </c>
      <c r="B32" s="4">
        <v>36</v>
      </c>
    </row>
    <row r="33" spans="1:2" ht="14.25" customHeight="1" x14ac:dyDescent="0.3">
      <c r="A33" s="4" t="s">
        <v>27</v>
      </c>
      <c r="B33" s="4">
        <v>15</v>
      </c>
    </row>
    <row r="34" spans="1:2" ht="14.25" customHeight="1" x14ac:dyDescent="0.3">
      <c r="A34" s="4" t="s">
        <v>28</v>
      </c>
      <c r="B34" s="4">
        <v>21</v>
      </c>
    </row>
    <row r="35" spans="1:2" ht="14.25" customHeight="1" x14ac:dyDescent="0.3">
      <c r="A35" s="4" t="s">
        <v>29</v>
      </c>
      <c r="B35" s="4">
        <v>20</v>
      </c>
    </row>
    <row r="36" spans="1:2" ht="14.25" customHeight="1" x14ac:dyDescent="0.3">
      <c r="A36" s="4" t="s">
        <v>30</v>
      </c>
      <c r="B36" s="4">
        <v>30</v>
      </c>
    </row>
    <row r="37" spans="1:2" ht="14.25" customHeight="1" x14ac:dyDescent="0.3">
      <c r="A37" s="4" t="s">
        <v>31</v>
      </c>
      <c r="B37" s="4">
        <v>33</v>
      </c>
    </row>
    <row r="38" spans="1:2" ht="14.25" customHeight="1" x14ac:dyDescent="0.3">
      <c r="A38" s="4" t="s">
        <v>32</v>
      </c>
      <c r="B38" s="4">
        <v>11</v>
      </c>
    </row>
    <row r="39" spans="1:2" ht="14.25" customHeight="1" x14ac:dyDescent="0.3">
      <c r="A39" s="4" t="s">
        <v>33</v>
      </c>
      <c r="B39" s="4">
        <v>38</v>
      </c>
    </row>
    <row r="40" spans="1:2" ht="14.25" customHeight="1" x14ac:dyDescent="0.3">
      <c r="A40" s="11" t="s">
        <v>34</v>
      </c>
    </row>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2" workbookViewId="0">
      <selection activeCell="N15" sqref="N15"/>
    </sheetView>
  </sheetViews>
  <sheetFormatPr defaultColWidth="14.44140625" defaultRowHeight="15" customHeight="1" x14ac:dyDescent="0.3"/>
  <cols>
    <col min="1" max="2" width="8.6640625" customWidth="1"/>
    <col min="3" max="4" width="14.5546875" customWidth="1"/>
    <col min="5" max="5" width="13" customWidth="1"/>
    <col min="6" max="6" width="12.44140625" customWidth="1"/>
    <col min="7" max="8" width="14.88671875" customWidth="1"/>
    <col min="9" max="10" width="8.6640625" customWidth="1"/>
    <col min="11" max="11" width="14.5546875" customWidth="1"/>
    <col min="12" max="13" width="8.6640625" customWidth="1"/>
    <col min="14" max="14" width="15.6640625" customWidth="1"/>
    <col min="15" max="15" width="17" customWidth="1"/>
    <col min="16" max="26" width="8.6640625" customWidth="1"/>
  </cols>
  <sheetData>
    <row r="1" spans="1:26" ht="14.25" customHeight="1" x14ac:dyDescent="0.3">
      <c r="A1" s="1" t="s">
        <v>40</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2" t="s">
        <v>1</v>
      </c>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3"/>
    <row r="4" spans="1:26" ht="14.25" customHeight="1" x14ac:dyDescent="0.3">
      <c r="A4" t="s">
        <v>119</v>
      </c>
      <c r="B4" s="3" t="s">
        <v>2</v>
      </c>
      <c r="C4" s="3" t="s">
        <v>37</v>
      </c>
      <c r="D4" s="29" t="s">
        <v>124</v>
      </c>
      <c r="E4" s="29" t="s">
        <v>79</v>
      </c>
      <c r="F4" s="29" t="s">
        <v>81</v>
      </c>
      <c r="G4" s="29" t="s">
        <v>84</v>
      </c>
      <c r="H4" s="30" t="s">
        <v>86</v>
      </c>
      <c r="I4" s="30"/>
    </row>
    <row r="5" spans="1:26" ht="14.25" customHeight="1" x14ac:dyDescent="0.3">
      <c r="A5">
        <v>1</v>
      </c>
      <c r="B5" s="4" t="s">
        <v>4</v>
      </c>
      <c r="C5" s="5">
        <v>34000</v>
      </c>
      <c r="D5" s="6">
        <f>_xlfn.FORECAST.LINEAR(A5,$C$5:$C$16,$A$5:$A$16)</f>
        <v>46076.923076923078</v>
      </c>
      <c r="E5" s="6">
        <f>C5-D5</f>
        <v>-12076.923076923078</v>
      </c>
      <c r="F5" s="6">
        <f>ABS(E5)</f>
        <v>12076.923076923078</v>
      </c>
      <c r="G5" s="6">
        <f>F5^2</f>
        <v>145852071.00591719</v>
      </c>
      <c r="H5" s="7">
        <f>F5/C5</f>
        <v>0.35520361990950228</v>
      </c>
    </row>
    <row r="6" spans="1:26" ht="14.25" customHeight="1" x14ac:dyDescent="0.3">
      <c r="A6">
        <v>2</v>
      </c>
      <c r="B6" s="4" t="s">
        <v>5</v>
      </c>
      <c r="C6" s="5">
        <v>37000</v>
      </c>
      <c r="D6" s="6">
        <f t="shared" ref="D6:D16" si="0">_xlfn.FORECAST.LINEAR(A6,$C$5:$C$16,$A$5:$A$16)</f>
        <v>44608.391608391605</v>
      </c>
      <c r="E6" s="6">
        <f t="shared" ref="E6:E16" si="1">C6-D6</f>
        <v>-7608.3916083916047</v>
      </c>
      <c r="F6" s="6">
        <f t="shared" ref="F6:F16" si="2">ABS(E6)</f>
        <v>7608.3916083916047</v>
      </c>
      <c r="G6" s="6">
        <f t="shared" ref="G6:G16" si="3">F6^2</f>
        <v>57887622.866643786</v>
      </c>
      <c r="H6" s="7">
        <f t="shared" ref="H6:H16" si="4">F6/C6</f>
        <v>0.20563220563220552</v>
      </c>
      <c r="K6" s="8"/>
      <c r="L6" s="6"/>
    </row>
    <row r="7" spans="1:26" ht="14.25" customHeight="1" x14ac:dyDescent="0.3">
      <c r="A7">
        <v>3</v>
      </c>
      <c r="B7" s="4" t="s">
        <v>6</v>
      </c>
      <c r="C7" s="5">
        <v>44000</v>
      </c>
      <c r="D7" s="6">
        <f t="shared" si="0"/>
        <v>43139.860139860139</v>
      </c>
      <c r="E7" s="6">
        <f t="shared" si="1"/>
        <v>860.13986013986141</v>
      </c>
      <c r="F7" s="6">
        <f t="shared" si="2"/>
        <v>860.13986013986141</v>
      </c>
      <c r="G7" s="6">
        <f t="shared" si="3"/>
        <v>739840.57900142029</v>
      </c>
      <c r="H7" s="7">
        <f t="shared" si="4"/>
        <v>1.954863318499685E-2</v>
      </c>
      <c r="K7" s="8"/>
      <c r="L7" s="6"/>
    </row>
    <row r="8" spans="1:26" ht="14.25" customHeight="1" x14ac:dyDescent="0.3">
      <c r="A8">
        <v>4</v>
      </c>
      <c r="B8" s="4" t="s">
        <v>7</v>
      </c>
      <c r="C8" s="5">
        <v>47000</v>
      </c>
      <c r="D8" s="6">
        <f t="shared" si="0"/>
        <v>41671.328671328672</v>
      </c>
      <c r="E8" s="6">
        <f t="shared" si="1"/>
        <v>5328.6713286713275</v>
      </c>
      <c r="F8" s="6">
        <f t="shared" si="2"/>
        <v>5328.6713286713275</v>
      </c>
      <c r="G8" s="6">
        <f t="shared" si="3"/>
        <v>28394738.129003853</v>
      </c>
      <c r="H8" s="7">
        <f t="shared" si="4"/>
        <v>0.11337598571641122</v>
      </c>
      <c r="K8" s="8"/>
      <c r="L8" s="7"/>
    </row>
    <row r="9" spans="1:26" ht="14.25" customHeight="1" x14ac:dyDescent="0.3">
      <c r="A9">
        <v>5</v>
      </c>
      <c r="B9" s="4" t="s">
        <v>8</v>
      </c>
      <c r="C9" s="5">
        <v>48000</v>
      </c>
      <c r="D9" s="6">
        <f t="shared" si="0"/>
        <v>40202.797202797199</v>
      </c>
      <c r="E9" s="6">
        <f t="shared" si="1"/>
        <v>7797.2027972028009</v>
      </c>
      <c r="F9" s="6">
        <f t="shared" si="2"/>
        <v>7797.2027972028009</v>
      </c>
      <c r="G9" s="6">
        <f t="shared" si="3"/>
        <v>60796371.46070718</v>
      </c>
      <c r="H9" s="7">
        <f t="shared" si="4"/>
        <v>0.16244172494172501</v>
      </c>
      <c r="N9" s="6" t="s">
        <v>88</v>
      </c>
      <c r="O9" s="23">
        <f>AVERAGE(F5:F16)</f>
        <v>6531.4685314685312</v>
      </c>
    </row>
    <row r="10" spans="1:26" ht="14.25" customHeight="1" x14ac:dyDescent="0.3">
      <c r="A10">
        <v>6</v>
      </c>
      <c r="B10" s="4" t="s">
        <v>9</v>
      </c>
      <c r="C10" s="5">
        <v>48000</v>
      </c>
      <c r="D10" s="6">
        <f t="shared" si="0"/>
        <v>38734.265734265733</v>
      </c>
      <c r="E10" s="6">
        <f t="shared" si="1"/>
        <v>9265.734265734267</v>
      </c>
      <c r="F10" s="6">
        <f t="shared" si="2"/>
        <v>9265.734265734267</v>
      </c>
      <c r="G10" s="6">
        <f t="shared" si="3"/>
        <v>85853831.48320213</v>
      </c>
      <c r="H10" s="7">
        <f t="shared" si="4"/>
        <v>0.19303613053613056</v>
      </c>
      <c r="N10" s="6" t="s">
        <v>89</v>
      </c>
      <c r="O10" s="23">
        <f>AVERAGE(G5:G16)</f>
        <v>50967365.967365958</v>
      </c>
    </row>
    <row r="11" spans="1:26" ht="14.25" customHeight="1" x14ac:dyDescent="0.3">
      <c r="A11">
        <v>7</v>
      </c>
      <c r="B11" s="4" t="s">
        <v>10</v>
      </c>
      <c r="C11" s="5">
        <v>46000</v>
      </c>
      <c r="D11" s="6">
        <f t="shared" si="0"/>
        <v>37265.734265734267</v>
      </c>
      <c r="E11" s="6">
        <f t="shared" si="1"/>
        <v>8734.265734265733</v>
      </c>
      <c r="F11" s="6">
        <f t="shared" si="2"/>
        <v>8734.265734265733</v>
      </c>
      <c r="G11" s="6">
        <f t="shared" si="3"/>
        <v>76287397.916768521</v>
      </c>
      <c r="H11" s="7">
        <f t="shared" si="4"/>
        <v>0.18987534204925507</v>
      </c>
      <c r="N11" s="7" t="s">
        <v>90</v>
      </c>
      <c r="O11" s="26">
        <f>AVERAGE(H5:H16)</f>
        <v>0.17921651458705432</v>
      </c>
    </row>
    <row r="12" spans="1:26" ht="14.25" customHeight="1" x14ac:dyDescent="0.3">
      <c r="A12">
        <v>8</v>
      </c>
      <c r="B12" s="4" t="s">
        <v>11</v>
      </c>
      <c r="C12" s="5">
        <v>43000</v>
      </c>
      <c r="D12" s="6">
        <f t="shared" si="0"/>
        <v>35797.202797202794</v>
      </c>
      <c r="E12" s="6">
        <f t="shared" si="1"/>
        <v>7202.7972027972064</v>
      </c>
      <c r="F12" s="6">
        <f t="shared" si="2"/>
        <v>7202.7972027972064</v>
      </c>
      <c r="G12" s="6">
        <f t="shared" si="3"/>
        <v>51880287.544623263</v>
      </c>
      <c r="H12" s="7">
        <f t="shared" si="4"/>
        <v>0.16750691169295828</v>
      </c>
    </row>
    <row r="13" spans="1:26" ht="14.25" customHeight="1" x14ac:dyDescent="0.3">
      <c r="A13">
        <v>9</v>
      </c>
      <c r="B13" s="4" t="s">
        <v>12</v>
      </c>
      <c r="C13" s="5">
        <v>32000</v>
      </c>
      <c r="D13" s="6">
        <f t="shared" si="0"/>
        <v>34328.671328671328</v>
      </c>
      <c r="E13" s="6">
        <f t="shared" si="1"/>
        <v>-2328.6713286713275</v>
      </c>
      <c r="F13" s="6">
        <f t="shared" si="2"/>
        <v>2328.6713286713275</v>
      </c>
      <c r="G13" s="6">
        <f t="shared" si="3"/>
        <v>5422710.1569758859</v>
      </c>
      <c r="H13" s="7">
        <f t="shared" si="4"/>
        <v>7.2770979020978982E-2</v>
      </c>
      <c r="L13" s="7"/>
      <c r="N13" s="7"/>
      <c r="O13" s="7"/>
    </row>
    <row r="14" spans="1:26" ht="14.25" customHeight="1" x14ac:dyDescent="0.3">
      <c r="A14">
        <v>10</v>
      </c>
      <c r="B14" s="4" t="s">
        <v>13</v>
      </c>
      <c r="C14" s="5">
        <v>27000</v>
      </c>
      <c r="D14" s="6">
        <f t="shared" si="0"/>
        <v>32860.139860139854</v>
      </c>
      <c r="E14" s="6">
        <f t="shared" si="1"/>
        <v>-5860.1398601398541</v>
      </c>
      <c r="F14" s="6">
        <f t="shared" si="2"/>
        <v>5860.1398601398541</v>
      </c>
      <c r="G14" s="6">
        <f t="shared" si="3"/>
        <v>34341239.180399947</v>
      </c>
      <c r="H14" s="7">
        <f t="shared" si="4"/>
        <v>0.21704221704221682</v>
      </c>
      <c r="N14" s="7" t="s">
        <v>125</v>
      </c>
      <c r="O14" s="26">
        <f>100%-O11</f>
        <v>0.82078348541294566</v>
      </c>
    </row>
    <row r="15" spans="1:26" ht="14.25" customHeight="1" x14ac:dyDescent="0.3">
      <c r="A15">
        <v>11</v>
      </c>
      <c r="B15" s="4" t="s">
        <v>14</v>
      </c>
      <c r="C15" s="5">
        <v>26000</v>
      </c>
      <c r="D15" s="6">
        <f t="shared" si="0"/>
        <v>31391.608391608388</v>
      </c>
      <c r="E15" s="6">
        <f t="shared" si="1"/>
        <v>-5391.608391608388</v>
      </c>
      <c r="F15" s="6">
        <f t="shared" si="2"/>
        <v>5391.608391608388</v>
      </c>
      <c r="G15" s="6">
        <f t="shared" si="3"/>
        <v>29069441.048461989</v>
      </c>
      <c r="H15" s="7">
        <f t="shared" si="4"/>
        <v>0.20736955352339953</v>
      </c>
    </row>
    <row r="16" spans="1:26" ht="14.25" customHeight="1" x14ac:dyDescent="0.3">
      <c r="A16">
        <v>12</v>
      </c>
      <c r="B16" s="4" t="s">
        <v>15</v>
      </c>
      <c r="C16" s="5">
        <v>24000</v>
      </c>
      <c r="D16" s="6">
        <f t="shared" si="0"/>
        <v>29923.076923076922</v>
      </c>
      <c r="E16" s="6">
        <f t="shared" si="1"/>
        <v>-5923.076923076922</v>
      </c>
      <c r="F16" s="6">
        <f t="shared" si="2"/>
        <v>5923.076923076922</v>
      </c>
      <c r="G16" s="6">
        <f t="shared" si="3"/>
        <v>35082840.236686379</v>
      </c>
      <c r="H16" s="7">
        <f t="shared" si="4"/>
        <v>0.24679487179487175</v>
      </c>
    </row>
    <row r="17" spans="1:26" ht="14.25" customHeight="1" x14ac:dyDescent="0.3">
      <c r="A17">
        <v>13</v>
      </c>
      <c r="B17" s="38" t="s">
        <v>4</v>
      </c>
      <c r="D17" s="6"/>
      <c r="E17" s="6"/>
      <c r="F17" s="6"/>
    </row>
    <row r="18" spans="1:26" ht="14.25" customHeight="1" x14ac:dyDescent="0.3">
      <c r="A18">
        <v>14</v>
      </c>
      <c r="C18" s="6"/>
      <c r="D18" s="6"/>
      <c r="E18" s="6"/>
      <c r="F18" s="6"/>
    </row>
    <row r="19" spans="1:26" ht="14.25" customHeight="1" x14ac:dyDescent="0.3">
      <c r="A19">
        <v>15</v>
      </c>
      <c r="C19" s="6"/>
      <c r="D19" s="6"/>
      <c r="E19" s="6"/>
      <c r="F19" s="6"/>
    </row>
    <row r="20" spans="1:26" ht="14.25" customHeight="1" x14ac:dyDescent="0.3">
      <c r="A20">
        <v>16</v>
      </c>
      <c r="C20" s="6"/>
      <c r="D20" s="6"/>
      <c r="E20" s="6"/>
      <c r="F20" s="6"/>
    </row>
    <row r="21" spans="1:26" ht="14.25" customHeight="1" x14ac:dyDescent="0.3">
      <c r="F21" t="s">
        <v>113</v>
      </c>
    </row>
    <row r="22" spans="1:26" ht="14.25" customHeight="1" x14ac:dyDescent="0.3">
      <c r="F22" t="s">
        <v>123</v>
      </c>
    </row>
    <row r="23" spans="1:26" ht="14.25" customHeight="1" x14ac:dyDescent="0.3">
      <c r="A23" s="1" t="s">
        <v>40</v>
      </c>
      <c r="B23" s="1"/>
      <c r="C23" s="1"/>
      <c r="D23" s="1"/>
      <c r="E23" s="1"/>
      <c r="G23" s="1"/>
      <c r="H23" s="1"/>
      <c r="I23" s="1"/>
      <c r="J23" s="1"/>
      <c r="K23" s="1"/>
      <c r="L23" s="1"/>
      <c r="M23" s="1"/>
      <c r="N23" s="1"/>
      <c r="O23" s="1"/>
      <c r="P23" s="1"/>
      <c r="Q23" s="1"/>
      <c r="R23" s="1"/>
      <c r="S23" s="1"/>
      <c r="T23" s="1"/>
      <c r="U23" s="1"/>
      <c r="V23" s="1"/>
      <c r="W23" s="1"/>
      <c r="X23" s="1"/>
      <c r="Y23" s="1"/>
      <c r="Z23" s="1"/>
    </row>
    <row r="24" spans="1:26" ht="14.25" customHeight="1" x14ac:dyDescent="0.3">
      <c r="A24" s="2" t="s">
        <v>16</v>
      </c>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row r="26" spans="1:26" ht="14.25" customHeight="1" x14ac:dyDescent="0.3">
      <c r="A26" s="3" t="s">
        <v>17</v>
      </c>
      <c r="B26" s="3" t="s">
        <v>18</v>
      </c>
    </row>
    <row r="27" spans="1:26" ht="14.25" customHeight="1" x14ac:dyDescent="0.3">
      <c r="A27" s="4" t="s">
        <v>19</v>
      </c>
      <c r="B27" s="4">
        <v>18</v>
      </c>
    </row>
    <row r="28" spans="1:26" ht="14.25" customHeight="1" x14ac:dyDescent="0.3">
      <c r="A28" s="4" t="s">
        <v>20</v>
      </c>
      <c r="B28" s="4">
        <v>31</v>
      </c>
    </row>
    <row r="29" spans="1:26" ht="14.25" customHeight="1" x14ac:dyDescent="0.3">
      <c r="A29" s="4" t="s">
        <v>21</v>
      </c>
      <c r="B29" s="4">
        <v>31</v>
      </c>
    </row>
    <row r="30" spans="1:26" ht="14.25" customHeight="1" x14ac:dyDescent="0.3">
      <c r="A30" s="4" t="s">
        <v>22</v>
      </c>
      <c r="B30" s="4">
        <v>16</v>
      </c>
    </row>
    <row r="31" spans="1:26" ht="14.25" customHeight="1" x14ac:dyDescent="0.3">
      <c r="A31" s="4" t="s">
        <v>23</v>
      </c>
      <c r="B31" s="4">
        <v>12</v>
      </c>
    </row>
    <row r="32" spans="1:26" ht="14.25" customHeight="1" x14ac:dyDescent="0.3">
      <c r="A32" s="4" t="s">
        <v>24</v>
      </c>
      <c r="B32" s="4">
        <v>33</v>
      </c>
    </row>
    <row r="33" spans="1:2" ht="14.25" customHeight="1" x14ac:dyDescent="0.3">
      <c r="A33" s="4" t="s">
        <v>25</v>
      </c>
      <c r="B33" s="4">
        <v>30</v>
      </c>
    </row>
    <row r="34" spans="1:2" ht="14.25" customHeight="1" x14ac:dyDescent="0.3">
      <c r="A34" s="4" t="s">
        <v>26</v>
      </c>
      <c r="B34" s="4">
        <v>36</v>
      </c>
    </row>
    <row r="35" spans="1:2" ht="14.25" customHeight="1" x14ac:dyDescent="0.3">
      <c r="A35" s="4" t="s">
        <v>27</v>
      </c>
      <c r="B35" s="4">
        <v>15</v>
      </c>
    </row>
    <row r="36" spans="1:2" ht="14.25" customHeight="1" x14ac:dyDescent="0.3">
      <c r="A36" s="4" t="s">
        <v>28</v>
      </c>
      <c r="B36" s="4">
        <v>21</v>
      </c>
    </row>
    <row r="37" spans="1:2" ht="14.25" customHeight="1" x14ac:dyDescent="0.3">
      <c r="A37" s="4" t="s">
        <v>29</v>
      </c>
      <c r="B37" s="4">
        <v>20</v>
      </c>
    </row>
    <row r="38" spans="1:2" ht="14.25" customHeight="1" x14ac:dyDescent="0.3">
      <c r="A38" s="4" t="s">
        <v>30</v>
      </c>
      <c r="B38" s="4">
        <v>30</v>
      </c>
    </row>
    <row r="39" spans="1:2" ht="14.25" customHeight="1" x14ac:dyDescent="0.3">
      <c r="A39" s="4" t="s">
        <v>31</v>
      </c>
      <c r="B39" s="4">
        <v>33</v>
      </c>
    </row>
    <row r="40" spans="1:2" ht="14.25" customHeight="1" x14ac:dyDescent="0.3">
      <c r="A40" s="4" t="s">
        <v>32</v>
      </c>
      <c r="B40" s="4">
        <v>11</v>
      </c>
    </row>
    <row r="41" spans="1:2" ht="14.25" customHeight="1" x14ac:dyDescent="0.3">
      <c r="A41" s="4" t="s">
        <v>33</v>
      </c>
      <c r="B41" s="4">
        <v>38</v>
      </c>
    </row>
    <row r="42" spans="1:2" ht="14.25" customHeight="1" x14ac:dyDescent="0.3">
      <c r="A42" s="11" t="s">
        <v>34</v>
      </c>
    </row>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Naive Approach</vt:lpstr>
      <vt:lpstr>Sheet1</vt:lpstr>
      <vt:lpstr>Moving Average</vt:lpstr>
      <vt:lpstr>Exponential Smoothing</vt:lpstr>
      <vt:lpstr>Simple Linear Regression</vt:lpstr>
      <vt:lpstr>SLR SHEET</vt:lpstr>
      <vt:lpstr>Sheet3</vt:lpstr>
      <vt:lpstr>Forecast Sheet</vt:lpstr>
      <vt:lpstr>Forecst.Linear Function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Efemena Ikpro</dc:creator>
  <cp:lastModifiedBy>PRISCILLA FANAMA</cp:lastModifiedBy>
  <dcterms:created xsi:type="dcterms:W3CDTF">2022-02-12T15:28:21Z</dcterms:created>
  <dcterms:modified xsi:type="dcterms:W3CDTF">2025-03-15T16:35:50Z</dcterms:modified>
</cp:coreProperties>
</file>