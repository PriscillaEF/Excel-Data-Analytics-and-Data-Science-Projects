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nam\Downloads\DATA PROOF\EXCEL\05_Raw_Datasets\"/>
    </mc:Choice>
  </mc:AlternateContent>
  <xr:revisionPtr revIDLastSave="0" documentId="13_ncr:1_{6D58D56B-7DA9-410F-9952-D535C1F37F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iginal" sheetId="1" r:id="rId1"/>
    <sheet name="Cleaned Data" sheetId="2" r:id="rId2"/>
  </sheets>
  <definedNames>
    <definedName name="_xlnm._FilterDatabase" localSheetId="1" hidden="1">'Cleaned Data'!$A$1:$P$76</definedName>
    <definedName name="_xlnm._FilterDatabase" localSheetId="0" hidden="1">Original!$A$1:$L$77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4" i="2"/>
  <c r="P75" i="2"/>
  <c r="P76" i="2"/>
  <c r="P35" i="2"/>
  <c r="P2" i="2"/>
  <c r="K73" i="2"/>
  <c r="P73" i="2" s="1"/>
  <c r="K4" i="2"/>
  <c r="P4" i="2" s="1"/>
</calcChain>
</file>

<file path=xl/sharedStrings.xml><?xml version="1.0" encoding="utf-8"?>
<sst xmlns="http://schemas.openxmlformats.org/spreadsheetml/2006/main" count="1466" uniqueCount="204">
  <si>
    <t>Order_ID</t>
  </si>
  <si>
    <t>Date</t>
  </si>
  <si>
    <t>Client_Name</t>
  </si>
  <si>
    <t>Client_Type</t>
  </si>
  <si>
    <t>Product</t>
  </si>
  <si>
    <t>Category</t>
  </si>
  <si>
    <t>Units_Ordered</t>
  </si>
  <si>
    <t>Unit_Price</t>
  </si>
  <si>
    <t>Total_Amount</t>
  </si>
  <si>
    <t>Region</t>
  </si>
  <si>
    <t>Order_Status</t>
  </si>
  <si>
    <t>Payment_Method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</si>
  <si>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</si>
  <si>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</si>
  <si>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</si>
  <si>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</si>
  <si>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</si>
  <si>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</si>
  <si>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</si>
  <si>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</si>
  <si>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</si>
  <si>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</si>
  <si>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</si>
  <si>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</si>
  <si>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</si>
  <si>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</si>
  <si>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</si>
  <si>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</si>
  <si>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</si>
  <si>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</si>
  <si>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</si>
  <si>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</si>
  <si>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</si>
  <si>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</si>
  <si>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</si>
  <si>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</si>
  <si>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</si>
  <si>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</si>
  <si>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</si>
  <si>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</si>
  <si>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</si>
  <si>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</si>
  <si>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</si>
  <si>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</si>
  <si>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</si>
  <si>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</si>
  <si>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</si>
  <si>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MobileWave Stores</t>
  </si>
  <si>
    <t>Urban Gadgets</t>
  </si>
  <si>
    <t>TechMart Stores</t>
  </si>
  <si>
    <t>DigitalHub Stores</t>
  </si>
  <si>
    <t>GigaRetail Ltd</t>
  </si>
  <si>
    <t>TechDepot Wholesale</t>
  </si>
  <si>
    <t>DistriTech Africa</t>
  </si>
  <si>
    <t>PrimeGadgets</t>
  </si>
  <si>
    <t>Beta Wholesale</t>
  </si>
  <si>
    <t>CoreTech Retail</t>
  </si>
  <si>
    <t>DigiHub Wholesale</t>
  </si>
  <si>
    <t>MaxiTech Corp</t>
  </si>
  <si>
    <t>laptop z5</t>
  </si>
  <si>
    <t>wireless earbuds e2</t>
  </si>
  <si>
    <t>New Tablet Mini 8</t>
  </si>
  <si>
    <t>New Laptop Z5</t>
  </si>
  <si>
    <t>tablet pro 10</t>
  </si>
  <si>
    <t>SMARTPHONE X1</t>
  </si>
  <si>
    <t>Wireless earbuds e2</t>
  </si>
  <si>
    <t>TabletMini8</t>
  </si>
  <si>
    <t>WirelessEarbudsE2</t>
  </si>
  <si>
    <t>smartphone x1</t>
  </si>
  <si>
    <t>tablet mini 8</t>
  </si>
  <si>
    <t>Smartphone X1 Pro</t>
  </si>
  <si>
    <t>LAPTOP Z5</t>
  </si>
  <si>
    <t>New Wireless Earbuds E2</t>
  </si>
  <si>
    <t>New Tablet Pro 10</t>
  </si>
  <si>
    <t>Smartphone x1</t>
  </si>
  <si>
    <t>LaptopZ5</t>
  </si>
  <si>
    <t>WIRELESS EARBUDS E2</t>
  </si>
  <si>
    <t>Tablet pro 10</t>
  </si>
  <si>
    <t>Wireless Earbuds E2 Pro</t>
  </si>
  <si>
    <t>smartwatch pro s5</t>
  </si>
  <si>
    <t>smartphone lite m2</t>
  </si>
  <si>
    <t>TABLET MINI 8</t>
  </si>
  <si>
    <t>SmartwatchProS5</t>
  </si>
  <si>
    <t>Smartwatch Pro S5 Pro</t>
  </si>
  <si>
    <t>Smartwatch a3</t>
  </si>
  <si>
    <t>Tablet Mini 8 Pro</t>
  </si>
  <si>
    <t>Laptop Z5 Pro</t>
  </si>
  <si>
    <t>Smartphone Lite M2 Pro</t>
  </si>
  <si>
    <t>Tablet Pro 10 Pro</t>
  </si>
  <si>
    <t>Laptop z5</t>
  </si>
  <si>
    <t>smartwatch a3</t>
  </si>
  <si>
    <t>Tablet mini 8</t>
  </si>
  <si>
    <t>SmartphoneLiteM2</t>
  </si>
  <si>
    <t>Laptops</t>
  </si>
  <si>
    <t>Accessories</t>
  </si>
  <si>
    <t>Tablets</t>
  </si>
  <si>
    <t>Smartphones</t>
  </si>
  <si>
    <t>Wearables</t>
  </si>
  <si>
    <t>€750</t>
  </si>
  <si>
    <t>€45</t>
  </si>
  <si>
    <t>£50000</t>
  </si>
  <si>
    <t>$750</t>
  </si>
  <si>
    <t>$250</t>
  </si>
  <si>
    <t>$320</t>
  </si>
  <si>
    <t>$180</t>
  </si>
  <si>
    <t>£45</t>
  </si>
  <si>
    <t>750</t>
  </si>
  <si>
    <t>320</t>
  </si>
  <si>
    <t>$45</t>
  </si>
  <si>
    <t>€250</t>
  </si>
  <si>
    <t>€25000</t>
  </si>
  <si>
    <t>€180</t>
  </si>
  <si>
    <t>€170</t>
  </si>
  <si>
    <t>£750</t>
  </si>
  <si>
    <t>£220</t>
  </si>
  <si>
    <t>45</t>
  </si>
  <si>
    <t>250</t>
  </si>
  <si>
    <t>180</t>
  </si>
  <si>
    <t>£250</t>
  </si>
  <si>
    <t>£180</t>
  </si>
  <si>
    <t>170</t>
  </si>
  <si>
    <t>£320</t>
  </si>
  <si>
    <t>$220</t>
  </si>
  <si>
    <t>£170</t>
  </si>
  <si>
    <t>€120</t>
  </si>
  <si>
    <t>220</t>
  </si>
  <si>
    <t>$170</t>
  </si>
  <si>
    <t>$120</t>
  </si>
  <si>
    <t>€220</t>
  </si>
  <si>
    <t>$10000</t>
  </si>
  <si>
    <t>Lagos</t>
  </si>
  <si>
    <t>Abuja</t>
  </si>
  <si>
    <t>Abeokuta</t>
  </si>
  <si>
    <t>Port Harcourt</t>
  </si>
  <si>
    <t>Kano</t>
  </si>
  <si>
    <t>Ibadan</t>
  </si>
  <si>
    <t>Est</t>
  </si>
  <si>
    <t>Aba</t>
  </si>
  <si>
    <t>Uyo</t>
  </si>
  <si>
    <t>Kaduna</t>
  </si>
  <si>
    <t>Pending</t>
  </si>
  <si>
    <t>Delivered</t>
  </si>
  <si>
    <t>Credit Card</t>
  </si>
  <si>
    <t>Bank Transfer</t>
  </si>
  <si>
    <t>Cheque</t>
  </si>
  <si>
    <t>Cash</t>
  </si>
  <si>
    <t>Retai#ler</t>
  </si>
  <si>
    <t>Retail$er</t>
  </si>
  <si>
    <t>Re%tailer</t>
  </si>
  <si>
    <t>Retailer*</t>
  </si>
  <si>
    <t>Reta#iler</t>
  </si>
  <si>
    <t>Retail*er</t>
  </si>
  <si>
    <t>Distri$butor</t>
  </si>
  <si>
    <t>Distribu%tor</t>
  </si>
  <si>
    <t>Re*tailer</t>
  </si>
  <si>
    <t>Reta$iler</t>
  </si>
  <si>
    <t>Retai%ler</t>
  </si>
  <si>
    <t>Distri#butor</t>
  </si>
  <si>
    <t>Retaile*r</t>
  </si>
  <si>
    <t>Re$tailer</t>
  </si>
  <si>
    <t>Reta%iler</t>
  </si>
  <si>
    <t>Distri*butor</t>
  </si>
  <si>
    <t>Re#tailer</t>
  </si>
  <si>
    <t>Retail%er</t>
  </si>
  <si>
    <t>Retaile$r</t>
  </si>
  <si>
    <t>Distri%butor</t>
  </si>
  <si>
    <t>Retai$ler</t>
  </si>
  <si>
    <t>Dist*ributor</t>
  </si>
  <si>
    <t>Retaile#r</t>
  </si>
  <si>
    <t>Retail#er</t>
  </si>
  <si>
    <t>Distribu*tor</t>
  </si>
  <si>
    <t>Dist$ributor</t>
  </si>
  <si>
    <t>Retaile%r</t>
  </si>
  <si>
    <t>Distribu$tor</t>
  </si>
  <si>
    <t>Distr%ibutor</t>
  </si>
  <si>
    <t>76 500</t>
  </si>
  <si>
    <t>3725 0</t>
  </si>
  <si>
    <t>12 960</t>
  </si>
  <si>
    <t>104 40</t>
  </si>
  <si>
    <t>Duplicate_check</t>
  </si>
  <si>
    <t>Retailer</t>
  </si>
  <si>
    <t>Distributor</t>
  </si>
  <si>
    <t>Laptop Z5</t>
  </si>
  <si>
    <t>Wireless Earbuds E2</t>
  </si>
  <si>
    <t>Tablet Pro 10</t>
  </si>
  <si>
    <t>Smartphone X1</t>
  </si>
  <si>
    <t>Tablet Mini 8</t>
  </si>
  <si>
    <t>Smartwatch Pro S5</t>
  </si>
  <si>
    <t>Smartphone Lite M2</t>
  </si>
  <si>
    <t>Smartwatch A3</t>
  </si>
  <si>
    <t>YEAR</t>
  </si>
  <si>
    <t>MONTH</t>
  </si>
  <si>
    <t>DAY</t>
  </si>
  <si>
    <t>January</t>
  </si>
  <si>
    <t>Friday</t>
  </si>
  <si>
    <t>Saturday</t>
  </si>
  <si>
    <t>Sunday</t>
  </si>
  <si>
    <t>Monday</t>
  </si>
  <si>
    <t>Tuesday</t>
  </si>
  <si>
    <t>Wednesday</t>
  </si>
  <si>
    <t>Thursday</t>
  </si>
  <si>
    <t>February</t>
  </si>
  <si>
    <t>Prime Gadgets</t>
  </si>
  <si>
    <t>Enugu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</si>
</sst>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_-[$£-809]* #,##0_-;\-[$£-809]* #,##0_-;_-[$£-809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5" fontId="0" fillId="0" borderId="0" xfId="0" applyNumberFormat="1"/>
    <xf numFmtId="49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1" fontId="2" fillId="0" borderId="0" xfId="0" applyNumberFormat="1" applyFont="1"/>
    <xf numFmtId="165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opLeftCell="D1" zoomScaleNormal="100" workbookViewId="0">
      <selection activeCell="D9" sqref="D9"/>
    </sheetView>
  </sheetViews>
  <sheetFormatPr defaultRowHeight="14.4" x14ac:dyDescent="0.3"/>
  <cols>
    <col min="1" max="1" width="8.5546875" bestFit="1" customWidth="1"/>
    <col min="2" max="2" width="10.33203125" bestFit="1" customWidth="1"/>
    <col min="3" max="3" width="19.109375" bestFit="1" customWidth="1"/>
    <col min="4" max="4" width="11.109375" bestFit="1" customWidth="1"/>
    <col min="5" max="5" width="21.77734375" bestFit="1" customWidth="1"/>
    <col min="6" max="6" width="11.6640625" bestFit="1" customWidth="1"/>
    <col min="7" max="7" width="13.33203125" bestFit="1" customWidth="1"/>
    <col min="8" max="8" width="9.6640625" bestFit="1" customWidth="1"/>
    <col min="9" max="9" width="13.21875" bestFit="1" customWidth="1"/>
    <col min="10" max="10" width="12.109375" bestFit="1" customWidth="1"/>
    <col min="11" max="11" width="12" bestFit="1" customWidth="1"/>
    <col min="12" max="12" width="16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1001</v>
      </c>
      <c r="B2" t="s">
        <v>12</v>
      </c>
      <c r="C2" t="s">
        <v>47</v>
      </c>
      <c r="D2" t="s">
        <v>146</v>
      </c>
      <c r="E2" t="s">
        <v>59</v>
      </c>
      <c r="F2" t="s">
        <v>93</v>
      </c>
      <c r="G2">
        <v>102</v>
      </c>
      <c r="H2" t="s">
        <v>98</v>
      </c>
      <c r="I2" t="s">
        <v>175</v>
      </c>
      <c r="J2" t="s">
        <v>130</v>
      </c>
      <c r="K2" t="s">
        <v>140</v>
      </c>
      <c r="L2" t="s">
        <v>142</v>
      </c>
    </row>
    <row r="3" spans="1:12" x14ac:dyDescent="0.3">
      <c r="A3">
        <v>1002</v>
      </c>
      <c r="B3" t="s">
        <v>12</v>
      </c>
      <c r="C3" t="s">
        <v>48</v>
      </c>
      <c r="D3" t="s">
        <v>147</v>
      </c>
      <c r="E3" t="s">
        <v>60</v>
      </c>
      <c r="F3" t="s">
        <v>94</v>
      </c>
      <c r="G3">
        <v>61</v>
      </c>
      <c r="H3" t="s">
        <v>99</v>
      </c>
      <c r="I3">
        <v>2745</v>
      </c>
      <c r="J3" t="s">
        <v>131</v>
      </c>
      <c r="K3" t="s">
        <v>140</v>
      </c>
      <c r="L3" t="s">
        <v>143</v>
      </c>
    </row>
    <row r="4" spans="1:12" x14ac:dyDescent="0.3">
      <c r="A4">
        <v>1003</v>
      </c>
      <c r="B4" t="s">
        <v>13</v>
      </c>
      <c r="C4" t="s">
        <v>49</v>
      </c>
      <c r="D4" t="s">
        <v>148</v>
      </c>
      <c r="E4" t="s">
        <v>61</v>
      </c>
      <c r="F4" t="s">
        <v>95</v>
      </c>
      <c r="G4">
        <v>53</v>
      </c>
      <c r="H4" t="s">
        <v>100</v>
      </c>
      <c r="I4">
        <v>9540</v>
      </c>
      <c r="J4" t="s">
        <v>132</v>
      </c>
      <c r="K4" t="s">
        <v>140</v>
      </c>
      <c r="L4" t="s">
        <v>142</v>
      </c>
    </row>
    <row r="5" spans="1:12" x14ac:dyDescent="0.3">
      <c r="A5">
        <v>1004</v>
      </c>
      <c r="B5" t="s">
        <v>13</v>
      </c>
      <c r="C5" t="s">
        <v>47</v>
      </c>
      <c r="D5" t="s">
        <v>149</v>
      </c>
      <c r="E5" t="s">
        <v>62</v>
      </c>
      <c r="F5" t="s">
        <v>93</v>
      </c>
      <c r="G5">
        <v>72</v>
      </c>
      <c r="H5" t="s">
        <v>101</v>
      </c>
      <c r="I5">
        <v>54000</v>
      </c>
      <c r="J5" t="s">
        <v>130</v>
      </c>
      <c r="K5" t="s">
        <v>141</v>
      </c>
      <c r="L5" t="s">
        <v>144</v>
      </c>
    </row>
    <row r="6" spans="1:12" x14ac:dyDescent="0.3">
      <c r="A6">
        <v>1005</v>
      </c>
      <c r="B6" t="s">
        <v>14</v>
      </c>
      <c r="C6" t="s">
        <v>50</v>
      </c>
      <c r="D6" t="s">
        <v>150</v>
      </c>
      <c r="E6" t="s">
        <v>63</v>
      </c>
      <c r="F6" t="s">
        <v>95</v>
      </c>
      <c r="H6" t="s">
        <v>102</v>
      </c>
      <c r="I6">
        <v>28250</v>
      </c>
      <c r="J6" t="s">
        <v>133</v>
      </c>
      <c r="K6" t="s">
        <v>140</v>
      </c>
      <c r="L6" t="s">
        <v>144</v>
      </c>
    </row>
    <row r="7" spans="1:12" x14ac:dyDescent="0.3">
      <c r="A7">
        <v>1006</v>
      </c>
      <c r="B7" t="s">
        <v>14</v>
      </c>
      <c r="C7" t="s">
        <v>51</v>
      </c>
      <c r="D7" t="s">
        <v>151</v>
      </c>
      <c r="E7" t="s">
        <v>64</v>
      </c>
      <c r="F7" t="s">
        <v>96</v>
      </c>
      <c r="G7">
        <v>101</v>
      </c>
      <c r="H7" t="s">
        <v>103</v>
      </c>
      <c r="I7">
        <v>32320</v>
      </c>
      <c r="J7" t="s">
        <v>131</v>
      </c>
      <c r="K7" t="s">
        <v>141</v>
      </c>
      <c r="L7" t="s">
        <v>143</v>
      </c>
    </row>
    <row r="8" spans="1:12" x14ac:dyDescent="0.3">
      <c r="A8">
        <v>1007</v>
      </c>
      <c r="B8" t="s">
        <v>15</v>
      </c>
      <c r="C8" t="s">
        <v>52</v>
      </c>
      <c r="D8" t="s">
        <v>152</v>
      </c>
      <c r="E8" t="s">
        <v>61</v>
      </c>
      <c r="F8" t="s">
        <v>95</v>
      </c>
      <c r="G8">
        <v>85</v>
      </c>
      <c r="H8" t="s">
        <v>104</v>
      </c>
      <c r="I8">
        <v>15300</v>
      </c>
      <c r="J8" t="s">
        <v>134</v>
      </c>
      <c r="K8" t="s">
        <v>141</v>
      </c>
      <c r="L8" t="s">
        <v>143</v>
      </c>
    </row>
    <row r="9" spans="1:12" x14ac:dyDescent="0.3">
      <c r="A9">
        <v>1008</v>
      </c>
      <c r="B9" t="s">
        <v>15</v>
      </c>
      <c r="C9" t="s">
        <v>53</v>
      </c>
      <c r="D9" t="s">
        <v>153</v>
      </c>
      <c r="E9" t="s">
        <v>65</v>
      </c>
      <c r="F9" t="s">
        <v>94</v>
      </c>
      <c r="G9">
        <v>15</v>
      </c>
      <c r="H9" t="s">
        <v>99</v>
      </c>
      <c r="I9">
        <v>675</v>
      </c>
      <c r="J9" t="s">
        <v>135</v>
      </c>
      <c r="K9" t="s">
        <v>141</v>
      </c>
      <c r="L9" t="s">
        <v>145</v>
      </c>
    </row>
    <row r="10" spans="1:12" x14ac:dyDescent="0.3">
      <c r="A10">
        <v>1009</v>
      </c>
      <c r="B10" t="s">
        <v>16</v>
      </c>
      <c r="C10" t="s">
        <v>47</v>
      </c>
      <c r="D10" t="s">
        <v>154</v>
      </c>
      <c r="E10" t="s">
        <v>66</v>
      </c>
      <c r="F10" t="s">
        <v>95</v>
      </c>
      <c r="H10" t="s">
        <v>104</v>
      </c>
      <c r="I10">
        <v>2520</v>
      </c>
      <c r="J10" t="s">
        <v>133</v>
      </c>
      <c r="K10" t="s">
        <v>141</v>
      </c>
      <c r="L10" t="s">
        <v>143</v>
      </c>
    </row>
    <row r="11" spans="1:12" x14ac:dyDescent="0.3">
      <c r="A11">
        <v>1010</v>
      </c>
      <c r="B11" t="s">
        <v>16</v>
      </c>
      <c r="C11" t="s">
        <v>48</v>
      </c>
      <c r="D11" t="s">
        <v>155</v>
      </c>
      <c r="E11" t="s">
        <v>67</v>
      </c>
      <c r="F11" t="s">
        <v>94</v>
      </c>
      <c r="H11" t="s">
        <v>105</v>
      </c>
      <c r="I11">
        <v>4455</v>
      </c>
      <c r="J11" t="s">
        <v>135</v>
      </c>
      <c r="K11" t="s">
        <v>140</v>
      </c>
      <c r="L11" t="s">
        <v>142</v>
      </c>
    </row>
    <row r="12" spans="1:12" x14ac:dyDescent="0.3">
      <c r="A12">
        <v>1011</v>
      </c>
      <c r="B12" t="s">
        <v>17</v>
      </c>
      <c r="C12" t="s">
        <v>54</v>
      </c>
      <c r="D12" t="s">
        <v>156</v>
      </c>
      <c r="E12" t="s">
        <v>68</v>
      </c>
      <c r="F12" t="s">
        <v>96</v>
      </c>
      <c r="G12">
        <v>71</v>
      </c>
      <c r="H12" t="s">
        <v>103</v>
      </c>
      <c r="I12">
        <v>22720</v>
      </c>
      <c r="J12" t="s">
        <v>136</v>
      </c>
      <c r="K12" t="s">
        <v>140</v>
      </c>
      <c r="L12" t="s">
        <v>144</v>
      </c>
    </row>
    <row r="13" spans="1:12" x14ac:dyDescent="0.3">
      <c r="A13">
        <v>1012</v>
      </c>
      <c r="B13" t="s">
        <v>17</v>
      </c>
      <c r="C13" t="s">
        <v>55</v>
      </c>
      <c r="D13" t="s">
        <v>157</v>
      </c>
      <c r="E13" t="s">
        <v>69</v>
      </c>
      <c r="F13" t="s">
        <v>95</v>
      </c>
      <c r="G13">
        <v>33</v>
      </c>
      <c r="H13" t="s">
        <v>104</v>
      </c>
      <c r="I13">
        <v>5940</v>
      </c>
      <c r="J13" t="s">
        <v>137</v>
      </c>
      <c r="K13" t="s">
        <v>141</v>
      </c>
      <c r="L13" t="s">
        <v>144</v>
      </c>
    </row>
    <row r="14" spans="1:12" x14ac:dyDescent="0.3">
      <c r="A14">
        <v>1013</v>
      </c>
      <c r="B14" t="s">
        <v>18</v>
      </c>
      <c r="C14" t="s">
        <v>48</v>
      </c>
      <c r="D14" t="s">
        <v>148</v>
      </c>
      <c r="E14" t="s">
        <v>70</v>
      </c>
      <c r="F14" t="s">
        <v>96</v>
      </c>
      <c r="G14">
        <v>108</v>
      </c>
      <c r="H14" t="s">
        <v>103</v>
      </c>
      <c r="I14">
        <v>34560</v>
      </c>
      <c r="J14" t="s">
        <v>135</v>
      </c>
      <c r="K14" t="s">
        <v>141</v>
      </c>
      <c r="L14" t="s">
        <v>144</v>
      </c>
    </row>
    <row r="15" spans="1:12" x14ac:dyDescent="0.3">
      <c r="A15">
        <v>1014</v>
      </c>
      <c r="B15" t="s">
        <v>18</v>
      </c>
      <c r="C15" t="s">
        <v>54</v>
      </c>
      <c r="D15" t="s">
        <v>158</v>
      </c>
      <c r="E15" t="s">
        <v>71</v>
      </c>
      <c r="F15" t="s">
        <v>93</v>
      </c>
      <c r="G15">
        <v>110</v>
      </c>
      <c r="H15" t="s">
        <v>106</v>
      </c>
      <c r="I15">
        <v>82500</v>
      </c>
      <c r="J15" t="s">
        <v>133</v>
      </c>
      <c r="K15" t="s">
        <v>141</v>
      </c>
      <c r="L15" t="s">
        <v>144</v>
      </c>
    </row>
    <row r="16" spans="1:12" x14ac:dyDescent="0.3">
      <c r="A16">
        <v>1015</v>
      </c>
      <c r="B16" t="s">
        <v>19</v>
      </c>
      <c r="C16" t="s">
        <v>54</v>
      </c>
      <c r="D16" t="s">
        <v>146</v>
      </c>
      <c r="E16" t="s">
        <v>72</v>
      </c>
      <c r="F16" t="s">
        <v>94</v>
      </c>
      <c r="G16">
        <v>113</v>
      </c>
      <c r="H16" t="s">
        <v>105</v>
      </c>
      <c r="I16">
        <v>5085</v>
      </c>
      <c r="J16" t="s">
        <v>138</v>
      </c>
      <c r="K16" t="s">
        <v>141</v>
      </c>
      <c r="L16" t="s">
        <v>143</v>
      </c>
    </row>
    <row r="17" spans="1:12" x14ac:dyDescent="0.3">
      <c r="A17">
        <v>1016</v>
      </c>
      <c r="B17" t="s">
        <v>19</v>
      </c>
      <c r="C17" t="s">
        <v>48</v>
      </c>
      <c r="D17" t="s">
        <v>159</v>
      </c>
      <c r="E17" t="s">
        <v>73</v>
      </c>
      <c r="F17" t="s">
        <v>95</v>
      </c>
      <c r="G17">
        <v>149</v>
      </c>
      <c r="H17" t="s">
        <v>102</v>
      </c>
      <c r="I17" t="s">
        <v>176</v>
      </c>
      <c r="J17" t="s">
        <v>139</v>
      </c>
      <c r="K17" t="s">
        <v>141</v>
      </c>
      <c r="L17" t="s">
        <v>142</v>
      </c>
    </row>
    <row r="18" spans="1:12" x14ac:dyDescent="0.3">
      <c r="A18">
        <v>1017</v>
      </c>
      <c r="B18" t="s">
        <v>20</v>
      </c>
      <c r="C18" t="s">
        <v>49</v>
      </c>
      <c r="D18" t="s">
        <v>160</v>
      </c>
      <c r="E18" t="s">
        <v>74</v>
      </c>
      <c r="F18" t="s">
        <v>96</v>
      </c>
      <c r="H18" t="s">
        <v>107</v>
      </c>
      <c r="I18">
        <v>36800</v>
      </c>
      <c r="J18" t="s">
        <v>134</v>
      </c>
      <c r="K18" t="s">
        <v>141</v>
      </c>
      <c r="L18" t="s">
        <v>142</v>
      </c>
    </row>
    <row r="19" spans="1:12" x14ac:dyDescent="0.3">
      <c r="A19">
        <v>1018</v>
      </c>
      <c r="B19" t="s">
        <v>20</v>
      </c>
      <c r="C19" t="s">
        <v>55</v>
      </c>
      <c r="D19" t="s">
        <v>161</v>
      </c>
      <c r="E19" t="s">
        <v>75</v>
      </c>
      <c r="F19" t="s">
        <v>93</v>
      </c>
      <c r="G19">
        <v>15000</v>
      </c>
      <c r="H19" t="s">
        <v>101</v>
      </c>
      <c r="I19">
        <v>13500</v>
      </c>
      <c r="J19" t="s">
        <v>134</v>
      </c>
      <c r="K19" t="s">
        <v>141</v>
      </c>
      <c r="L19" t="s">
        <v>145</v>
      </c>
    </row>
    <row r="20" spans="1:12" x14ac:dyDescent="0.3">
      <c r="A20">
        <v>1019</v>
      </c>
      <c r="B20" t="s">
        <v>21</v>
      </c>
      <c r="C20" t="s">
        <v>49</v>
      </c>
      <c r="D20" t="s">
        <v>162</v>
      </c>
      <c r="E20" t="s">
        <v>76</v>
      </c>
      <c r="F20" t="s">
        <v>94</v>
      </c>
      <c r="H20" t="s">
        <v>108</v>
      </c>
      <c r="I20">
        <v>4095</v>
      </c>
      <c r="J20" t="s">
        <v>137</v>
      </c>
      <c r="K20" t="s">
        <v>140</v>
      </c>
      <c r="L20" t="s">
        <v>145</v>
      </c>
    </row>
    <row r="21" spans="1:12" x14ac:dyDescent="0.3">
      <c r="A21">
        <v>1020</v>
      </c>
      <c r="B21" t="s">
        <v>21</v>
      </c>
      <c r="C21" t="s">
        <v>50</v>
      </c>
      <c r="D21" t="s">
        <v>163</v>
      </c>
      <c r="E21" t="s">
        <v>77</v>
      </c>
      <c r="F21" t="s">
        <v>95</v>
      </c>
      <c r="G21">
        <v>56</v>
      </c>
      <c r="H21" t="s">
        <v>109</v>
      </c>
      <c r="I21">
        <v>14000</v>
      </c>
      <c r="J21" t="s">
        <v>131</v>
      </c>
      <c r="K21" t="s">
        <v>141</v>
      </c>
      <c r="L21" t="s">
        <v>144</v>
      </c>
    </row>
    <row r="22" spans="1:12" x14ac:dyDescent="0.3">
      <c r="A22">
        <v>1021</v>
      </c>
      <c r="B22" t="s">
        <v>22</v>
      </c>
      <c r="C22" t="s">
        <v>54</v>
      </c>
      <c r="D22" t="s">
        <v>164</v>
      </c>
      <c r="E22" t="s">
        <v>78</v>
      </c>
      <c r="F22" t="s">
        <v>94</v>
      </c>
      <c r="H22" t="s">
        <v>110</v>
      </c>
      <c r="I22">
        <v>450</v>
      </c>
      <c r="J22" t="s">
        <v>131</v>
      </c>
      <c r="K22" t="s">
        <v>140</v>
      </c>
      <c r="L22" t="s">
        <v>142</v>
      </c>
    </row>
    <row r="23" spans="1:12" x14ac:dyDescent="0.3">
      <c r="A23">
        <v>1022</v>
      </c>
      <c r="B23" t="s">
        <v>22</v>
      </c>
      <c r="C23" t="s">
        <v>54</v>
      </c>
      <c r="D23" t="s">
        <v>151</v>
      </c>
      <c r="E23" t="s">
        <v>62</v>
      </c>
      <c r="F23" t="s">
        <v>93</v>
      </c>
      <c r="G23">
        <v>20</v>
      </c>
      <c r="H23" t="s">
        <v>101</v>
      </c>
      <c r="I23">
        <v>15000</v>
      </c>
      <c r="J23" t="s">
        <v>133</v>
      </c>
      <c r="K23" t="s">
        <v>141</v>
      </c>
      <c r="L23" t="s">
        <v>143</v>
      </c>
    </row>
    <row r="24" spans="1:12" x14ac:dyDescent="0.3">
      <c r="A24">
        <v>1023</v>
      </c>
      <c r="B24" t="s">
        <v>23</v>
      </c>
      <c r="C24" t="s">
        <v>47</v>
      </c>
      <c r="D24" t="s">
        <v>150</v>
      </c>
      <c r="E24" t="s">
        <v>66</v>
      </c>
      <c r="F24" t="s">
        <v>95</v>
      </c>
      <c r="G24">
        <v>72</v>
      </c>
      <c r="H24" t="s">
        <v>111</v>
      </c>
      <c r="I24" t="s">
        <v>177</v>
      </c>
      <c r="J24" t="s">
        <v>138</v>
      </c>
      <c r="K24" t="s">
        <v>140</v>
      </c>
      <c r="L24" t="s">
        <v>145</v>
      </c>
    </row>
    <row r="25" spans="1:12" x14ac:dyDescent="0.3">
      <c r="A25">
        <v>1024</v>
      </c>
      <c r="B25" t="s">
        <v>23</v>
      </c>
      <c r="C25" t="s">
        <v>55</v>
      </c>
      <c r="D25" t="s">
        <v>165</v>
      </c>
      <c r="E25" t="s">
        <v>79</v>
      </c>
      <c r="F25" t="s">
        <v>97</v>
      </c>
      <c r="G25">
        <v>35</v>
      </c>
      <c r="H25" t="s">
        <v>112</v>
      </c>
      <c r="I25">
        <v>5950</v>
      </c>
      <c r="J25" t="s">
        <v>134</v>
      </c>
      <c r="K25" t="s">
        <v>140</v>
      </c>
      <c r="L25" t="s">
        <v>144</v>
      </c>
    </row>
    <row r="26" spans="1:12" x14ac:dyDescent="0.3">
      <c r="A26">
        <v>1025</v>
      </c>
      <c r="B26" t="s">
        <v>24</v>
      </c>
      <c r="C26" t="s">
        <v>56</v>
      </c>
      <c r="D26" t="s">
        <v>166</v>
      </c>
      <c r="E26" t="s">
        <v>59</v>
      </c>
      <c r="F26" t="s">
        <v>93</v>
      </c>
      <c r="G26">
        <v>34</v>
      </c>
      <c r="H26" t="s">
        <v>113</v>
      </c>
      <c r="I26">
        <v>25500</v>
      </c>
      <c r="J26" t="s">
        <v>138</v>
      </c>
      <c r="K26" t="s">
        <v>140</v>
      </c>
      <c r="L26" t="s">
        <v>142</v>
      </c>
    </row>
    <row r="27" spans="1:12" x14ac:dyDescent="0.3">
      <c r="A27">
        <v>1026</v>
      </c>
      <c r="B27" t="s">
        <v>24</v>
      </c>
      <c r="C27" t="s">
        <v>52</v>
      </c>
      <c r="D27" t="s">
        <v>157</v>
      </c>
      <c r="E27" t="s">
        <v>80</v>
      </c>
      <c r="F27" t="s">
        <v>96</v>
      </c>
      <c r="G27">
        <v>106</v>
      </c>
      <c r="H27" t="s">
        <v>114</v>
      </c>
      <c r="I27">
        <v>23320</v>
      </c>
      <c r="J27" t="s">
        <v>137</v>
      </c>
      <c r="K27" t="s">
        <v>140</v>
      </c>
      <c r="L27" t="s">
        <v>145</v>
      </c>
    </row>
    <row r="28" spans="1:12" x14ac:dyDescent="0.3">
      <c r="A28">
        <v>1027</v>
      </c>
      <c r="B28" t="s">
        <v>25</v>
      </c>
      <c r="C28" t="s">
        <v>57</v>
      </c>
      <c r="D28" t="s">
        <v>167</v>
      </c>
      <c r="E28" t="s">
        <v>62</v>
      </c>
      <c r="F28" t="s">
        <v>93</v>
      </c>
      <c r="G28">
        <v>122</v>
      </c>
      <c r="H28" t="s">
        <v>101</v>
      </c>
      <c r="I28">
        <v>91500</v>
      </c>
      <c r="J28" t="s">
        <v>131</v>
      </c>
      <c r="K28" t="s">
        <v>140</v>
      </c>
      <c r="L28" t="s">
        <v>142</v>
      </c>
    </row>
    <row r="29" spans="1:12" x14ac:dyDescent="0.3">
      <c r="A29">
        <v>1028</v>
      </c>
      <c r="B29" t="s">
        <v>25</v>
      </c>
      <c r="C29" t="s">
        <v>54</v>
      </c>
      <c r="D29" t="s">
        <v>160</v>
      </c>
      <c r="E29" t="s">
        <v>67</v>
      </c>
      <c r="F29" t="s">
        <v>94</v>
      </c>
      <c r="G29">
        <v>122</v>
      </c>
      <c r="H29" t="s">
        <v>115</v>
      </c>
      <c r="I29">
        <v>5490</v>
      </c>
      <c r="J29" t="s">
        <v>134</v>
      </c>
      <c r="K29" t="s">
        <v>140</v>
      </c>
      <c r="L29" t="s">
        <v>144</v>
      </c>
    </row>
    <row r="30" spans="1:12" x14ac:dyDescent="0.3">
      <c r="A30">
        <v>1029</v>
      </c>
      <c r="B30" t="s">
        <v>26</v>
      </c>
      <c r="C30" t="s">
        <v>58</v>
      </c>
      <c r="D30" t="s">
        <v>152</v>
      </c>
      <c r="E30" t="s">
        <v>77</v>
      </c>
      <c r="F30" t="s">
        <v>95</v>
      </c>
      <c r="G30">
        <v>50</v>
      </c>
      <c r="H30" t="s">
        <v>116</v>
      </c>
      <c r="I30">
        <v>12500</v>
      </c>
      <c r="J30" t="s">
        <v>138</v>
      </c>
      <c r="K30" t="s">
        <v>141</v>
      </c>
      <c r="L30" t="s">
        <v>144</v>
      </c>
    </row>
    <row r="31" spans="1:12" x14ac:dyDescent="0.3">
      <c r="A31">
        <v>1030</v>
      </c>
      <c r="B31" t="s">
        <v>26</v>
      </c>
      <c r="C31" t="s">
        <v>51</v>
      </c>
      <c r="D31" t="s">
        <v>168</v>
      </c>
      <c r="E31" t="s">
        <v>81</v>
      </c>
      <c r="F31" t="s">
        <v>95</v>
      </c>
      <c r="G31">
        <v>138</v>
      </c>
      <c r="H31" t="s">
        <v>117</v>
      </c>
      <c r="I31">
        <v>24840</v>
      </c>
      <c r="J31" t="s">
        <v>134</v>
      </c>
      <c r="K31" t="s">
        <v>140</v>
      </c>
      <c r="L31" t="s">
        <v>145</v>
      </c>
    </row>
    <row r="32" spans="1:12" x14ac:dyDescent="0.3">
      <c r="A32">
        <v>1031</v>
      </c>
      <c r="B32" t="s">
        <v>27</v>
      </c>
      <c r="C32" t="s">
        <v>56</v>
      </c>
      <c r="D32" t="s">
        <v>163</v>
      </c>
      <c r="E32" t="s">
        <v>73</v>
      </c>
      <c r="F32" t="s">
        <v>95</v>
      </c>
      <c r="G32">
        <v>101</v>
      </c>
      <c r="H32" t="s">
        <v>118</v>
      </c>
      <c r="I32">
        <v>25250</v>
      </c>
      <c r="J32" t="s">
        <v>130</v>
      </c>
      <c r="K32" t="s">
        <v>141</v>
      </c>
      <c r="L32" t="s">
        <v>143</v>
      </c>
    </row>
    <row r="33" spans="1:12" x14ac:dyDescent="0.3">
      <c r="A33">
        <v>1032</v>
      </c>
      <c r="B33" t="s">
        <v>27</v>
      </c>
      <c r="C33" t="s">
        <v>58</v>
      </c>
      <c r="D33" t="s">
        <v>161</v>
      </c>
      <c r="E33" t="s">
        <v>81</v>
      </c>
      <c r="F33" t="s">
        <v>95</v>
      </c>
      <c r="G33">
        <v>58</v>
      </c>
      <c r="H33" t="s">
        <v>119</v>
      </c>
      <c r="I33" t="s">
        <v>178</v>
      </c>
      <c r="J33" t="s">
        <v>139</v>
      </c>
      <c r="K33" t="s">
        <v>140</v>
      </c>
      <c r="L33" t="s">
        <v>144</v>
      </c>
    </row>
    <row r="34" spans="1:12" x14ac:dyDescent="0.3">
      <c r="A34">
        <v>1033</v>
      </c>
      <c r="B34" t="s">
        <v>28</v>
      </c>
      <c r="C34" t="s">
        <v>49</v>
      </c>
      <c r="D34" t="s">
        <v>155</v>
      </c>
      <c r="E34" t="s">
        <v>82</v>
      </c>
      <c r="F34" t="s">
        <v>97</v>
      </c>
      <c r="G34">
        <v>21</v>
      </c>
      <c r="H34" t="s">
        <v>120</v>
      </c>
      <c r="I34">
        <v>3570</v>
      </c>
      <c r="J34" t="s">
        <v>139</v>
      </c>
      <c r="K34" t="s">
        <v>140</v>
      </c>
      <c r="L34" t="s">
        <v>142</v>
      </c>
    </row>
    <row r="35" spans="1:12" x14ac:dyDescent="0.3">
      <c r="A35">
        <v>1034</v>
      </c>
      <c r="B35" t="s">
        <v>28</v>
      </c>
      <c r="C35" t="s">
        <v>48</v>
      </c>
      <c r="D35" t="s">
        <v>169</v>
      </c>
      <c r="E35" t="s">
        <v>64</v>
      </c>
      <c r="F35" t="s">
        <v>96</v>
      </c>
      <c r="H35" t="s">
        <v>121</v>
      </c>
      <c r="I35">
        <v>30400</v>
      </c>
      <c r="J35" t="s">
        <v>134</v>
      </c>
      <c r="K35" t="s">
        <v>140</v>
      </c>
      <c r="L35" t="s">
        <v>145</v>
      </c>
    </row>
    <row r="36" spans="1:12" x14ac:dyDescent="0.3">
      <c r="A36">
        <v>1035</v>
      </c>
      <c r="B36" t="s">
        <v>29</v>
      </c>
      <c r="C36" t="s">
        <v>53</v>
      </c>
      <c r="D36" t="s">
        <v>165</v>
      </c>
      <c r="E36" t="s">
        <v>64</v>
      </c>
      <c r="F36" t="s">
        <v>96</v>
      </c>
      <c r="G36">
        <v>90</v>
      </c>
      <c r="H36" t="s">
        <v>121</v>
      </c>
      <c r="I36">
        <v>28800</v>
      </c>
      <c r="J36" t="s">
        <v>130</v>
      </c>
      <c r="K36" t="s">
        <v>140</v>
      </c>
      <c r="L36" t="s">
        <v>145</v>
      </c>
    </row>
    <row r="37" spans="1:12" x14ac:dyDescent="0.3">
      <c r="A37">
        <v>1036</v>
      </c>
      <c r="B37" t="s">
        <v>29</v>
      </c>
      <c r="C37" t="s">
        <v>53</v>
      </c>
      <c r="D37" t="s">
        <v>170</v>
      </c>
      <c r="E37" t="s">
        <v>70</v>
      </c>
      <c r="F37" t="s">
        <v>96</v>
      </c>
      <c r="G37">
        <v>36</v>
      </c>
      <c r="H37" t="s">
        <v>103</v>
      </c>
      <c r="I37">
        <v>11520</v>
      </c>
      <c r="J37" t="s">
        <v>136</v>
      </c>
      <c r="K37" t="s">
        <v>141</v>
      </c>
      <c r="L37" t="s">
        <v>143</v>
      </c>
    </row>
    <row r="38" spans="1:12" x14ac:dyDescent="0.3">
      <c r="A38">
        <v>1037</v>
      </c>
      <c r="B38" t="s">
        <v>30</v>
      </c>
      <c r="C38" t="s">
        <v>53</v>
      </c>
      <c r="D38" t="s">
        <v>152</v>
      </c>
      <c r="E38" t="s">
        <v>76</v>
      </c>
      <c r="F38" t="s">
        <v>94</v>
      </c>
      <c r="G38">
        <v>28</v>
      </c>
      <c r="H38" t="s">
        <v>108</v>
      </c>
      <c r="I38">
        <v>1260</v>
      </c>
      <c r="J38" t="s">
        <v>137</v>
      </c>
      <c r="K38" t="s">
        <v>141</v>
      </c>
      <c r="L38" t="s">
        <v>143</v>
      </c>
    </row>
    <row r="39" spans="1:12" x14ac:dyDescent="0.3">
      <c r="A39">
        <v>1038</v>
      </c>
      <c r="B39" t="s">
        <v>30</v>
      </c>
      <c r="C39" t="s">
        <v>53</v>
      </c>
      <c r="D39" t="s">
        <v>157</v>
      </c>
      <c r="E39" t="s">
        <v>68</v>
      </c>
      <c r="F39" t="s">
        <v>96</v>
      </c>
      <c r="G39">
        <v>38</v>
      </c>
      <c r="H39" t="s">
        <v>121</v>
      </c>
      <c r="I39">
        <v>12160</v>
      </c>
      <c r="J39" t="s">
        <v>130</v>
      </c>
      <c r="K39" t="s">
        <v>141</v>
      </c>
      <c r="L39" t="s">
        <v>145</v>
      </c>
    </row>
    <row r="40" spans="1:12" x14ac:dyDescent="0.3">
      <c r="A40">
        <v>1039</v>
      </c>
      <c r="B40" t="s">
        <v>31</v>
      </c>
      <c r="C40" t="s">
        <v>57</v>
      </c>
      <c r="D40" t="s">
        <v>165</v>
      </c>
      <c r="E40" t="s">
        <v>80</v>
      </c>
      <c r="F40" t="s">
        <v>96</v>
      </c>
      <c r="G40">
        <v>80</v>
      </c>
      <c r="H40" t="s">
        <v>122</v>
      </c>
      <c r="I40">
        <v>17600</v>
      </c>
      <c r="J40" t="s">
        <v>137</v>
      </c>
      <c r="K40" t="s">
        <v>141</v>
      </c>
      <c r="L40" t="s">
        <v>142</v>
      </c>
    </row>
    <row r="41" spans="1:12" x14ac:dyDescent="0.3">
      <c r="A41">
        <v>1040</v>
      </c>
      <c r="B41" t="s">
        <v>31</v>
      </c>
      <c r="C41" t="s">
        <v>57</v>
      </c>
      <c r="D41" t="s">
        <v>161</v>
      </c>
      <c r="E41" t="s">
        <v>65</v>
      </c>
      <c r="F41" t="s">
        <v>94</v>
      </c>
      <c r="G41">
        <v>62</v>
      </c>
      <c r="H41" t="s">
        <v>105</v>
      </c>
      <c r="I41">
        <v>2790</v>
      </c>
      <c r="J41" t="s">
        <v>138</v>
      </c>
      <c r="K41" t="s">
        <v>140</v>
      </c>
      <c r="L41" t="s">
        <v>143</v>
      </c>
    </row>
    <row r="42" spans="1:12" x14ac:dyDescent="0.3">
      <c r="A42">
        <v>1041</v>
      </c>
      <c r="B42" t="s">
        <v>32</v>
      </c>
      <c r="C42" t="s">
        <v>48</v>
      </c>
      <c r="D42" t="s">
        <v>152</v>
      </c>
      <c r="E42" t="s">
        <v>83</v>
      </c>
      <c r="F42" t="s">
        <v>97</v>
      </c>
      <c r="G42">
        <v>66</v>
      </c>
      <c r="H42" t="s">
        <v>123</v>
      </c>
      <c r="I42">
        <v>11220</v>
      </c>
      <c r="J42" t="s">
        <v>134</v>
      </c>
      <c r="K42" t="s">
        <v>141</v>
      </c>
      <c r="L42" t="s">
        <v>143</v>
      </c>
    </row>
    <row r="43" spans="1:12" x14ac:dyDescent="0.3">
      <c r="A43">
        <v>1042</v>
      </c>
      <c r="B43" t="s">
        <v>32</v>
      </c>
      <c r="C43" t="s">
        <v>54</v>
      </c>
      <c r="D43" t="s">
        <v>169</v>
      </c>
      <c r="E43" t="s">
        <v>66</v>
      </c>
      <c r="F43" t="s">
        <v>95</v>
      </c>
      <c r="G43">
        <v>42</v>
      </c>
      <c r="H43" t="s">
        <v>119</v>
      </c>
      <c r="I43">
        <v>7560</v>
      </c>
      <c r="J43" t="s">
        <v>134</v>
      </c>
      <c r="K43" t="s">
        <v>141</v>
      </c>
      <c r="L43" t="s">
        <v>142</v>
      </c>
    </row>
    <row r="44" spans="1:12" x14ac:dyDescent="0.3">
      <c r="A44">
        <v>1043</v>
      </c>
      <c r="B44" t="s">
        <v>33</v>
      </c>
      <c r="C44" t="s">
        <v>52</v>
      </c>
      <c r="D44" t="s">
        <v>160</v>
      </c>
      <c r="E44" t="s">
        <v>84</v>
      </c>
      <c r="F44" t="s">
        <v>97</v>
      </c>
      <c r="G44">
        <v>57</v>
      </c>
      <c r="H44" t="s">
        <v>124</v>
      </c>
      <c r="I44">
        <v>6840</v>
      </c>
      <c r="J44" t="s">
        <v>137</v>
      </c>
      <c r="K44" t="s">
        <v>141</v>
      </c>
      <c r="L44" t="s">
        <v>144</v>
      </c>
    </row>
    <row r="45" spans="1:12" x14ac:dyDescent="0.3">
      <c r="A45">
        <v>1044</v>
      </c>
      <c r="B45" t="s">
        <v>33</v>
      </c>
      <c r="C45" t="s">
        <v>50</v>
      </c>
      <c r="D45" t="s">
        <v>161</v>
      </c>
      <c r="E45" t="s">
        <v>80</v>
      </c>
      <c r="F45" t="s">
        <v>96</v>
      </c>
      <c r="G45">
        <v>29</v>
      </c>
      <c r="H45" t="s">
        <v>125</v>
      </c>
      <c r="I45">
        <v>6380</v>
      </c>
      <c r="J45" t="s">
        <v>137</v>
      </c>
      <c r="K45" t="s">
        <v>140</v>
      </c>
      <c r="L45" t="s">
        <v>144</v>
      </c>
    </row>
    <row r="46" spans="1:12" x14ac:dyDescent="0.3">
      <c r="A46">
        <v>1045</v>
      </c>
      <c r="B46" t="s">
        <v>34</v>
      </c>
      <c r="C46" t="s">
        <v>57</v>
      </c>
      <c r="D46" t="s">
        <v>147</v>
      </c>
      <c r="E46" t="s">
        <v>85</v>
      </c>
      <c r="F46" t="s">
        <v>95</v>
      </c>
      <c r="G46">
        <v>72</v>
      </c>
      <c r="H46" t="s">
        <v>117</v>
      </c>
      <c r="I46">
        <v>12960</v>
      </c>
      <c r="J46" t="s">
        <v>130</v>
      </c>
      <c r="K46" t="s">
        <v>140</v>
      </c>
      <c r="L46" t="s">
        <v>142</v>
      </c>
    </row>
    <row r="47" spans="1:12" x14ac:dyDescent="0.3">
      <c r="A47">
        <v>1046</v>
      </c>
      <c r="B47" t="s">
        <v>34</v>
      </c>
      <c r="C47" t="s">
        <v>47</v>
      </c>
      <c r="D47" t="s">
        <v>157</v>
      </c>
      <c r="E47" t="s">
        <v>59</v>
      </c>
      <c r="F47" t="s">
        <v>93</v>
      </c>
      <c r="G47">
        <v>80</v>
      </c>
      <c r="H47" t="s">
        <v>113</v>
      </c>
      <c r="I47">
        <v>60000</v>
      </c>
      <c r="J47" t="s">
        <v>131</v>
      </c>
      <c r="K47" t="s">
        <v>141</v>
      </c>
      <c r="L47" t="s">
        <v>145</v>
      </c>
    </row>
    <row r="48" spans="1:12" x14ac:dyDescent="0.3">
      <c r="A48">
        <v>1047</v>
      </c>
      <c r="B48" t="s">
        <v>35</v>
      </c>
      <c r="C48" t="s">
        <v>54</v>
      </c>
      <c r="D48" t="s">
        <v>156</v>
      </c>
      <c r="E48" t="s">
        <v>79</v>
      </c>
      <c r="F48" t="s">
        <v>97</v>
      </c>
      <c r="G48">
        <v>101</v>
      </c>
      <c r="H48" t="s">
        <v>123</v>
      </c>
      <c r="I48">
        <v>17170</v>
      </c>
      <c r="J48" t="s">
        <v>137</v>
      </c>
      <c r="K48" t="s">
        <v>140</v>
      </c>
      <c r="L48" t="s">
        <v>144</v>
      </c>
    </row>
    <row r="49" spans="1:12" x14ac:dyDescent="0.3">
      <c r="A49">
        <v>1048</v>
      </c>
      <c r="B49" t="s">
        <v>35</v>
      </c>
      <c r="C49" t="s">
        <v>58</v>
      </c>
      <c r="D49" t="s">
        <v>151</v>
      </c>
      <c r="E49" t="s">
        <v>82</v>
      </c>
      <c r="F49" t="s">
        <v>97</v>
      </c>
      <c r="G49">
        <v>9999</v>
      </c>
      <c r="H49" t="s">
        <v>126</v>
      </c>
      <c r="I49">
        <v>15470</v>
      </c>
      <c r="J49" t="s">
        <v>137</v>
      </c>
      <c r="K49" t="s">
        <v>141</v>
      </c>
      <c r="L49" t="s">
        <v>143</v>
      </c>
    </row>
    <row r="50" spans="1:12" x14ac:dyDescent="0.3">
      <c r="A50">
        <v>1049</v>
      </c>
      <c r="B50" t="s">
        <v>36</v>
      </c>
      <c r="C50" t="s">
        <v>49</v>
      </c>
      <c r="D50" t="s">
        <v>171</v>
      </c>
      <c r="E50" t="s">
        <v>86</v>
      </c>
      <c r="F50" t="s">
        <v>93</v>
      </c>
      <c r="G50">
        <v>51</v>
      </c>
      <c r="H50" t="s">
        <v>101</v>
      </c>
      <c r="I50">
        <v>38250</v>
      </c>
      <c r="J50" t="s">
        <v>135</v>
      </c>
      <c r="K50" t="s">
        <v>141</v>
      </c>
      <c r="L50" t="s">
        <v>142</v>
      </c>
    </row>
    <row r="51" spans="1:12" x14ac:dyDescent="0.3">
      <c r="A51">
        <v>1050</v>
      </c>
      <c r="B51" t="s">
        <v>36</v>
      </c>
      <c r="C51" t="s">
        <v>54</v>
      </c>
      <c r="D51" t="s">
        <v>168</v>
      </c>
      <c r="E51" t="s">
        <v>87</v>
      </c>
      <c r="F51" t="s">
        <v>96</v>
      </c>
      <c r="G51">
        <v>12</v>
      </c>
      <c r="H51" t="s">
        <v>114</v>
      </c>
      <c r="I51">
        <v>2640</v>
      </c>
      <c r="J51" t="s">
        <v>131</v>
      </c>
      <c r="K51" t="s">
        <v>140</v>
      </c>
      <c r="L51" t="s">
        <v>142</v>
      </c>
    </row>
    <row r="52" spans="1:12" x14ac:dyDescent="0.3">
      <c r="A52">
        <v>1051</v>
      </c>
      <c r="B52" t="s">
        <v>37</v>
      </c>
      <c r="C52" t="s">
        <v>51</v>
      </c>
      <c r="D52" t="s">
        <v>160</v>
      </c>
      <c r="E52" t="s">
        <v>88</v>
      </c>
      <c r="F52" t="s">
        <v>95</v>
      </c>
      <c r="G52">
        <v>25</v>
      </c>
      <c r="H52" t="s">
        <v>102</v>
      </c>
      <c r="I52">
        <v>6250</v>
      </c>
      <c r="J52" t="s">
        <v>139</v>
      </c>
      <c r="K52" t="s">
        <v>140</v>
      </c>
      <c r="L52" t="s">
        <v>144</v>
      </c>
    </row>
    <row r="53" spans="1:12" x14ac:dyDescent="0.3">
      <c r="A53">
        <v>1052</v>
      </c>
      <c r="B53" t="s">
        <v>37</v>
      </c>
      <c r="C53" t="s">
        <v>51</v>
      </c>
      <c r="D53" t="s">
        <v>147</v>
      </c>
      <c r="E53" t="s">
        <v>67</v>
      </c>
      <c r="F53" t="s">
        <v>94</v>
      </c>
      <c r="G53">
        <v>71</v>
      </c>
      <c r="H53" t="s">
        <v>115</v>
      </c>
      <c r="I53">
        <v>3195</v>
      </c>
      <c r="J53" t="s">
        <v>133</v>
      </c>
      <c r="K53" t="s">
        <v>141</v>
      </c>
      <c r="L53" t="s">
        <v>142</v>
      </c>
    </row>
    <row r="54" spans="1:12" x14ac:dyDescent="0.3">
      <c r="A54">
        <v>1053</v>
      </c>
      <c r="B54" t="s">
        <v>38</v>
      </c>
      <c r="C54" t="s">
        <v>57</v>
      </c>
      <c r="D54" t="s">
        <v>151</v>
      </c>
      <c r="E54" t="s">
        <v>81</v>
      </c>
      <c r="F54" t="s">
        <v>95</v>
      </c>
      <c r="G54">
        <v>85</v>
      </c>
      <c r="H54" t="s">
        <v>111</v>
      </c>
      <c r="I54">
        <v>15300</v>
      </c>
      <c r="J54" t="s">
        <v>133</v>
      </c>
      <c r="K54" t="s">
        <v>141</v>
      </c>
      <c r="L54" t="s">
        <v>142</v>
      </c>
    </row>
    <row r="55" spans="1:12" x14ac:dyDescent="0.3">
      <c r="A55">
        <v>1054</v>
      </c>
      <c r="B55" t="s">
        <v>38</v>
      </c>
      <c r="C55" t="s">
        <v>47</v>
      </c>
      <c r="D55" t="s">
        <v>157</v>
      </c>
      <c r="E55" t="s">
        <v>59</v>
      </c>
      <c r="F55" t="s">
        <v>93</v>
      </c>
      <c r="G55">
        <v>114</v>
      </c>
      <c r="H55" t="s">
        <v>113</v>
      </c>
      <c r="I55">
        <v>85500</v>
      </c>
      <c r="J55" t="s">
        <v>130</v>
      </c>
      <c r="K55" t="s">
        <v>140</v>
      </c>
      <c r="L55" t="s">
        <v>143</v>
      </c>
    </row>
    <row r="56" spans="1:12" x14ac:dyDescent="0.3">
      <c r="A56">
        <v>1055</v>
      </c>
      <c r="B56" t="s">
        <v>39</v>
      </c>
      <c r="C56" t="s">
        <v>56</v>
      </c>
      <c r="D56" t="s">
        <v>172</v>
      </c>
      <c r="E56" t="s">
        <v>74</v>
      </c>
      <c r="F56" t="s">
        <v>96</v>
      </c>
      <c r="G56">
        <v>55</v>
      </c>
      <c r="H56" t="s">
        <v>121</v>
      </c>
      <c r="I56">
        <v>17600</v>
      </c>
      <c r="J56" t="s">
        <v>130</v>
      </c>
      <c r="K56" t="s">
        <v>140</v>
      </c>
      <c r="L56" t="s">
        <v>144</v>
      </c>
    </row>
    <row r="57" spans="1:12" x14ac:dyDescent="0.3">
      <c r="A57">
        <v>1056</v>
      </c>
      <c r="B57" t="s">
        <v>39</v>
      </c>
      <c r="C57" t="s">
        <v>57</v>
      </c>
      <c r="D57" t="s">
        <v>147</v>
      </c>
      <c r="E57" t="s">
        <v>63</v>
      </c>
      <c r="F57" t="s">
        <v>95</v>
      </c>
      <c r="G57">
        <v>73</v>
      </c>
      <c r="H57" t="s">
        <v>109</v>
      </c>
      <c r="I57">
        <v>18250</v>
      </c>
      <c r="J57" t="s">
        <v>131</v>
      </c>
      <c r="K57" t="s">
        <v>141</v>
      </c>
      <c r="L57" t="s">
        <v>145</v>
      </c>
    </row>
    <row r="58" spans="1:12" x14ac:dyDescent="0.3">
      <c r="A58">
        <v>1057</v>
      </c>
      <c r="B58" t="s">
        <v>40</v>
      </c>
      <c r="C58" t="s">
        <v>53</v>
      </c>
      <c r="D58" t="s">
        <v>161</v>
      </c>
      <c r="E58" t="s">
        <v>62</v>
      </c>
      <c r="F58" t="s">
        <v>93</v>
      </c>
      <c r="G58">
        <v>146</v>
      </c>
      <c r="H58" t="s">
        <v>113</v>
      </c>
      <c r="I58">
        <v>109500</v>
      </c>
      <c r="J58" t="s">
        <v>134</v>
      </c>
      <c r="K58" t="s">
        <v>140</v>
      </c>
      <c r="L58" t="s">
        <v>145</v>
      </c>
    </row>
    <row r="59" spans="1:12" x14ac:dyDescent="0.3">
      <c r="A59">
        <v>1058</v>
      </c>
      <c r="B59" t="s">
        <v>40</v>
      </c>
      <c r="C59" t="s">
        <v>50</v>
      </c>
      <c r="D59" t="s">
        <v>165</v>
      </c>
      <c r="E59" t="s">
        <v>86</v>
      </c>
      <c r="F59" t="s">
        <v>93</v>
      </c>
      <c r="G59">
        <v>97</v>
      </c>
      <c r="H59" t="s">
        <v>101</v>
      </c>
      <c r="I59">
        <v>72750</v>
      </c>
      <c r="J59" t="s">
        <v>135</v>
      </c>
      <c r="K59" t="s">
        <v>141</v>
      </c>
      <c r="L59" t="s">
        <v>142</v>
      </c>
    </row>
    <row r="60" spans="1:12" x14ac:dyDescent="0.3">
      <c r="A60">
        <v>1059</v>
      </c>
      <c r="B60" t="s">
        <v>41</v>
      </c>
      <c r="C60" t="s">
        <v>51</v>
      </c>
      <c r="D60" t="s">
        <v>146</v>
      </c>
      <c r="E60" t="s">
        <v>82</v>
      </c>
      <c r="F60" t="s">
        <v>97</v>
      </c>
      <c r="G60">
        <v>82</v>
      </c>
      <c r="H60" t="s">
        <v>123</v>
      </c>
      <c r="I60">
        <v>13940</v>
      </c>
      <c r="J60" t="s">
        <v>135</v>
      </c>
      <c r="K60" t="s">
        <v>140</v>
      </c>
      <c r="L60" t="s">
        <v>144</v>
      </c>
    </row>
    <row r="61" spans="1:12" x14ac:dyDescent="0.3">
      <c r="A61">
        <v>1060</v>
      </c>
      <c r="B61" t="s">
        <v>41</v>
      </c>
      <c r="C61" t="s">
        <v>55</v>
      </c>
      <c r="D61" t="s">
        <v>155</v>
      </c>
      <c r="E61" t="s">
        <v>81</v>
      </c>
      <c r="F61" t="s">
        <v>95</v>
      </c>
      <c r="G61">
        <v>59</v>
      </c>
      <c r="H61" t="s">
        <v>117</v>
      </c>
      <c r="I61">
        <v>10620</v>
      </c>
      <c r="J61" t="s">
        <v>134</v>
      </c>
      <c r="K61" t="s">
        <v>141</v>
      </c>
      <c r="L61" t="s">
        <v>145</v>
      </c>
    </row>
    <row r="62" spans="1:12" x14ac:dyDescent="0.3">
      <c r="A62">
        <v>1061</v>
      </c>
      <c r="B62" t="s">
        <v>42</v>
      </c>
      <c r="C62" t="s">
        <v>53</v>
      </c>
      <c r="D62" t="s">
        <v>153</v>
      </c>
      <c r="E62" t="s">
        <v>69</v>
      </c>
      <c r="F62" t="s">
        <v>95</v>
      </c>
      <c r="G62">
        <v>23</v>
      </c>
      <c r="H62" t="s">
        <v>119</v>
      </c>
      <c r="I62">
        <v>4140</v>
      </c>
      <c r="J62" t="s">
        <v>130</v>
      </c>
      <c r="K62" t="s">
        <v>141</v>
      </c>
      <c r="L62" t="s">
        <v>144</v>
      </c>
    </row>
    <row r="63" spans="1:12" x14ac:dyDescent="0.3">
      <c r="A63">
        <v>1062</v>
      </c>
      <c r="B63" t="s">
        <v>42</v>
      </c>
      <c r="C63" t="s">
        <v>55</v>
      </c>
      <c r="D63" t="s">
        <v>157</v>
      </c>
      <c r="E63" t="s">
        <v>80</v>
      </c>
      <c r="F63" t="s">
        <v>96</v>
      </c>
      <c r="G63">
        <v>55</v>
      </c>
      <c r="H63" t="s">
        <v>125</v>
      </c>
      <c r="I63">
        <v>12100</v>
      </c>
      <c r="J63" t="s">
        <v>132</v>
      </c>
      <c r="K63" t="s">
        <v>140</v>
      </c>
      <c r="L63" t="s">
        <v>143</v>
      </c>
    </row>
    <row r="64" spans="1:12" x14ac:dyDescent="0.3">
      <c r="A64">
        <v>1063</v>
      </c>
      <c r="B64" t="s">
        <v>43</v>
      </c>
      <c r="C64" t="s">
        <v>50</v>
      </c>
      <c r="D64" t="s">
        <v>161</v>
      </c>
      <c r="E64" t="s">
        <v>85</v>
      </c>
      <c r="F64" t="s">
        <v>95</v>
      </c>
      <c r="H64" t="s">
        <v>117</v>
      </c>
      <c r="I64">
        <v>14220</v>
      </c>
      <c r="J64" t="s">
        <v>136</v>
      </c>
      <c r="K64" t="s">
        <v>140</v>
      </c>
      <c r="L64" t="s">
        <v>144</v>
      </c>
    </row>
    <row r="65" spans="1:12" x14ac:dyDescent="0.3">
      <c r="A65">
        <v>1064</v>
      </c>
      <c r="B65" t="s">
        <v>43</v>
      </c>
      <c r="C65" t="s">
        <v>50</v>
      </c>
      <c r="D65" t="s">
        <v>173</v>
      </c>
      <c r="E65" t="s">
        <v>87</v>
      </c>
      <c r="F65" t="s">
        <v>96</v>
      </c>
      <c r="G65">
        <v>12</v>
      </c>
      <c r="H65" t="s">
        <v>125</v>
      </c>
      <c r="I65">
        <v>2640</v>
      </c>
      <c r="J65" t="s">
        <v>139</v>
      </c>
      <c r="K65" t="s">
        <v>140</v>
      </c>
      <c r="L65" t="s">
        <v>143</v>
      </c>
    </row>
    <row r="66" spans="1:12" x14ac:dyDescent="0.3">
      <c r="A66">
        <v>1065</v>
      </c>
      <c r="B66" t="s">
        <v>44</v>
      </c>
      <c r="C66" t="s">
        <v>56</v>
      </c>
      <c r="D66" t="s">
        <v>169</v>
      </c>
      <c r="E66" t="s">
        <v>80</v>
      </c>
      <c r="F66" t="s">
        <v>96</v>
      </c>
      <c r="G66">
        <v>5000</v>
      </c>
      <c r="H66" t="s">
        <v>125</v>
      </c>
      <c r="I66">
        <v>26400</v>
      </c>
      <c r="J66" t="s">
        <v>133</v>
      </c>
      <c r="K66" t="s">
        <v>141</v>
      </c>
      <c r="L66" t="s">
        <v>145</v>
      </c>
    </row>
    <row r="67" spans="1:12" x14ac:dyDescent="0.3">
      <c r="A67">
        <v>1066</v>
      </c>
      <c r="B67" t="s">
        <v>44</v>
      </c>
      <c r="C67" t="s">
        <v>48</v>
      </c>
      <c r="D67" t="s">
        <v>156</v>
      </c>
      <c r="E67" t="s">
        <v>89</v>
      </c>
      <c r="F67" t="s">
        <v>93</v>
      </c>
      <c r="G67">
        <v>107</v>
      </c>
      <c r="H67" t="s">
        <v>113</v>
      </c>
      <c r="I67">
        <v>80250</v>
      </c>
      <c r="J67" t="s">
        <v>130</v>
      </c>
      <c r="K67" t="s">
        <v>140</v>
      </c>
      <c r="L67" t="s">
        <v>144</v>
      </c>
    </row>
    <row r="68" spans="1:12" x14ac:dyDescent="0.3">
      <c r="A68">
        <v>1067</v>
      </c>
      <c r="B68" t="s">
        <v>45</v>
      </c>
      <c r="C68" t="s">
        <v>47</v>
      </c>
      <c r="D68" t="s">
        <v>147</v>
      </c>
      <c r="E68" t="s">
        <v>82</v>
      </c>
      <c r="F68" t="s">
        <v>97</v>
      </c>
      <c r="G68">
        <v>40</v>
      </c>
      <c r="H68" t="s">
        <v>126</v>
      </c>
      <c r="I68">
        <v>6800</v>
      </c>
      <c r="J68" t="s">
        <v>136</v>
      </c>
      <c r="K68" t="s">
        <v>141</v>
      </c>
      <c r="L68" t="s">
        <v>143</v>
      </c>
    </row>
    <row r="69" spans="1:12" x14ac:dyDescent="0.3">
      <c r="A69">
        <v>1068</v>
      </c>
      <c r="B69" t="s">
        <v>45</v>
      </c>
      <c r="C69" t="s">
        <v>50</v>
      </c>
      <c r="D69" t="s">
        <v>158</v>
      </c>
      <c r="E69" t="s">
        <v>90</v>
      </c>
      <c r="F69" t="s">
        <v>97</v>
      </c>
      <c r="G69">
        <v>127</v>
      </c>
      <c r="H69" t="s">
        <v>127</v>
      </c>
      <c r="I69">
        <v>15240</v>
      </c>
      <c r="J69" t="s">
        <v>134</v>
      </c>
      <c r="K69" t="s">
        <v>140</v>
      </c>
      <c r="L69" t="s">
        <v>142</v>
      </c>
    </row>
    <row r="70" spans="1:12" x14ac:dyDescent="0.3">
      <c r="A70">
        <v>1069</v>
      </c>
      <c r="B70" t="s">
        <v>46</v>
      </c>
      <c r="C70" t="s">
        <v>54</v>
      </c>
      <c r="D70" t="s">
        <v>150</v>
      </c>
      <c r="E70" t="s">
        <v>91</v>
      </c>
      <c r="F70" t="s">
        <v>95</v>
      </c>
      <c r="G70">
        <v>66</v>
      </c>
      <c r="H70" t="s">
        <v>104</v>
      </c>
      <c r="I70">
        <v>11880</v>
      </c>
      <c r="J70" t="s">
        <v>136</v>
      </c>
      <c r="K70" t="s">
        <v>140</v>
      </c>
      <c r="L70" t="s">
        <v>144</v>
      </c>
    </row>
    <row r="71" spans="1:12" x14ac:dyDescent="0.3">
      <c r="A71">
        <v>1070</v>
      </c>
      <c r="B71" t="s">
        <v>46</v>
      </c>
      <c r="C71" t="s">
        <v>53</v>
      </c>
      <c r="D71" t="s">
        <v>160</v>
      </c>
      <c r="E71" t="s">
        <v>92</v>
      </c>
      <c r="F71" t="s">
        <v>96</v>
      </c>
      <c r="G71">
        <v>105</v>
      </c>
      <c r="H71" t="s">
        <v>128</v>
      </c>
      <c r="I71">
        <v>23100</v>
      </c>
      <c r="J71" t="s">
        <v>137</v>
      </c>
      <c r="K71" t="s">
        <v>140</v>
      </c>
      <c r="L71" t="s">
        <v>144</v>
      </c>
    </row>
    <row r="72" spans="1:12" x14ac:dyDescent="0.3">
      <c r="A72">
        <v>1040</v>
      </c>
      <c r="B72" t="s">
        <v>31</v>
      </c>
      <c r="C72" t="s">
        <v>57</v>
      </c>
      <c r="D72" t="s">
        <v>147</v>
      </c>
      <c r="E72" t="s">
        <v>65</v>
      </c>
      <c r="F72" t="s">
        <v>94</v>
      </c>
      <c r="G72">
        <v>62</v>
      </c>
      <c r="H72" t="s">
        <v>105</v>
      </c>
      <c r="I72">
        <v>2790</v>
      </c>
      <c r="J72" t="s">
        <v>138</v>
      </c>
      <c r="K72" t="s">
        <v>140</v>
      </c>
      <c r="L72" t="s">
        <v>143</v>
      </c>
    </row>
    <row r="73" spans="1:12" x14ac:dyDescent="0.3">
      <c r="A73">
        <v>1067</v>
      </c>
      <c r="B73" t="s">
        <v>45</v>
      </c>
      <c r="C73" t="s">
        <v>47</v>
      </c>
      <c r="D73" t="s">
        <v>161</v>
      </c>
      <c r="E73" t="s">
        <v>82</v>
      </c>
      <c r="F73" t="s">
        <v>97</v>
      </c>
      <c r="G73">
        <v>40</v>
      </c>
      <c r="H73" t="s">
        <v>129</v>
      </c>
      <c r="I73">
        <v>6800</v>
      </c>
      <c r="J73" t="s">
        <v>133</v>
      </c>
      <c r="K73" t="s">
        <v>141</v>
      </c>
      <c r="L73" t="s">
        <v>143</v>
      </c>
    </row>
    <row r="74" spans="1:12" x14ac:dyDescent="0.3">
      <c r="A74">
        <v>1042</v>
      </c>
      <c r="B74" t="s">
        <v>32</v>
      </c>
      <c r="C74" t="s">
        <v>54</v>
      </c>
      <c r="D74" t="s">
        <v>174</v>
      </c>
      <c r="E74" t="s">
        <v>66</v>
      </c>
      <c r="F74" t="s">
        <v>95</v>
      </c>
      <c r="G74">
        <v>42</v>
      </c>
      <c r="H74" t="s">
        <v>119</v>
      </c>
      <c r="I74">
        <v>7560</v>
      </c>
      <c r="J74" t="s">
        <v>136</v>
      </c>
      <c r="K74" t="s">
        <v>141</v>
      </c>
      <c r="L74" t="s">
        <v>142</v>
      </c>
    </row>
    <row r="75" spans="1:12" x14ac:dyDescent="0.3">
      <c r="A75">
        <v>1063</v>
      </c>
      <c r="B75" t="s">
        <v>43</v>
      </c>
      <c r="C75" t="s">
        <v>50</v>
      </c>
      <c r="D75" t="s">
        <v>169</v>
      </c>
      <c r="E75" t="s">
        <v>85</v>
      </c>
      <c r="F75" t="s">
        <v>95</v>
      </c>
      <c r="H75" t="s">
        <v>117</v>
      </c>
      <c r="I75">
        <v>14220</v>
      </c>
      <c r="J75" t="s">
        <v>130</v>
      </c>
      <c r="K75" t="s">
        <v>140</v>
      </c>
      <c r="L75" t="s">
        <v>144</v>
      </c>
    </row>
    <row r="76" spans="1:12" x14ac:dyDescent="0.3">
      <c r="A76">
        <v>1037</v>
      </c>
      <c r="B76" t="s">
        <v>30</v>
      </c>
      <c r="C76" t="s">
        <v>53</v>
      </c>
      <c r="D76" t="s">
        <v>164</v>
      </c>
      <c r="E76" t="s">
        <v>76</v>
      </c>
      <c r="F76" t="s">
        <v>94</v>
      </c>
      <c r="G76">
        <v>28</v>
      </c>
      <c r="H76" t="s">
        <v>108</v>
      </c>
      <c r="I76">
        <v>1260</v>
      </c>
      <c r="J76" t="s">
        <v>137</v>
      </c>
      <c r="K76" t="s">
        <v>141</v>
      </c>
      <c r="L76" t="s">
        <v>143</v>
      </c>
    </row>
    <row r="77" spans="1:12" x14ac:dyDescent="0.3">
      <c r="A77">
        <v>1034</v>
      </c>
      <c r="B77" t="s">
        <v>28</v>
      </c>
      <c r="C77" t="s">
        <v>48</v>
      </c>
      <c r="D77" t="s">
        <v>169</v>
      </c>
      <c r="E77" t="s">
        <v>64</v>
      </c>
      <c r="F77" t="s">
        <v>96</v>
      </c>
      <c r="H77" t="s">
        <v>121</v>
      </c>
      <c r="I77">
        <v>30400</v>
      </c>
      <c r="J77" t="s">
        <v>134</v>
      </c>
      <c r="K77" t="s">
        <v>140</v>
      </c>
      <c r="L77" t="s">
        <v>145</v>
      </c>
    </row>
  </sheetData>
  <autoFilter ref="A1:L77" xr:uid="{00000000-0001-0000-0000-000000000000}"/>
  <conditionalFormatting sqref="A2:A77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CD6B-944B-483C-9A1D-DB0C63B1B5E5}">
  <dimension ref="A1:P77"/>
  <sheetViews>
    <sheetView tabSelected="1" topLeftCell="G1" zoomScaleNormal="100" workbookViewId="0">
      <selection activeCell="J2" sqref="J2"/>
    </sheetView>
  </sheetViews>
  <sheetFormatPr defaultRowHeight="14.4" x14ac:dyDescent="0.3"/>
  <cols>
    <col min="1" max="1" width="8.5546875" style="4" bestFit="1" customWidth="1"/>
    <col min="2" max="2" width="10.33203125" style="6" bestFit="1" customWidth="1"/>
    <col min="3" max="5" width="10.33203125" style="6" customWidth="1"/>
    <col min="6" max="6" width="19.109375" style="4" bestFit="1" customWidth="1"/>
    <col min="7" max="7" width="11.109375" style="4" bestFit="1" customWidth="1"/>
    <col min="8" max="8" width="21.77734375" bestFit="1" customWidth="1"/>
    <col min="9" max="9" width="31" style="4" customWidth="1"/>
    <col min="10" max="10" width="13.33203125" style="8" bestFit="1" customWidth="1"/>
    <col min="11" max="12" width="13.33203125" style="8" customWidth="1"/>
    <col min="13" max="13" width="12.109375" style="4" bestFit="1" customWidth="1"/>
    <col min="14" max="14" width="12" style="4" bestFit="1" customWidth="1"/>
    <col min="15" max="15" width="16.44140625" style="4" bestFit="1" customWidth="1"/>
    <col min="21" max="21" width="23" bestFit="1" customWidth="1"/>
    <col min="22" max="22" width="21.77734375" bestFit="1" customWidth="1"/>
  </cols>
  <sheetData>
    <row r="1" spans="1:16" x14ac:dyDescent="0.3">
      <c r="A1" s="3" t="s">
        <v>0</v>
      </c>
      <c r="B1" s="5" t="s">
        <v>1</v>
      </c>
      <c r="C1" s="5" t="s">
        <v>190</v>
      </c>
      <c r="D1" s="5" t="s">
        <v>191</v>
      </c>
      <c r="E1" s="5" t="s">
        <v>192</v>
      </c>
      <c r="F1" s="3" t="s">
        <v>2</v>
      </c>
      <c r="G1" s="3" t="s">
        <v>3</v>
      </c>
      <c r="H1" s="1" t="s">
        <v>4</v>
      </c>
      <c r="I1" s="3" t="s">
        <v>5</v>
      </c>
      <c r="J1" s="7" t="s">
        <v>6</v>
      </c>
      <c r="K1" s="1" t="s">
        <v>7</v>
      </c>
      <c r="L1" s="1" t="s">
        <v>8</v>
      </c>
      <c r="M1" s="3" t="s">
        <v>9</v>
      </c>
      <c r="N1" s="3" t="s">
        <v>10</v>
      </c>
      <c r="O1" s="3" t="s">
        <v>11</v>
      </c>
      <c r="P1" s="2" t="s">
        <v>179</v>
      </c>
    </row>
    <row r="2" spans="1:16" x14ac:dyDescent="0.3">
      <c r="A2" s="4">
        <v>1001</v>
      </c>
      <c r="B2" s="6" t="s">
        <v>12</v>
      </c>
      <c r="C2">
        <v>2025</v>
      </c>
      <c r="D2" s="6" t="s">
        <v>193</v>
      </c>
      <c r="E2" s="6" t="s">
        <v>194</v>
      </c>
      <c r="F2" s="4" t="s">
        <v>47</v>
      </c>
      <c r="G2" t="s">
        <v>180</v>
      </c>
      <c r="H2" t="s">
        <v>182</v>
      </c>
      <c r="I2" s="4" t="s">
        <v>93</v>
      </c>
      <c r="J2" s="8">
        <v>102</v>
      </c>
      <c r="K2" s="9">
        <v>750</v>
      </c>
      <c r="L2" s="9">
        <v>76500</v>
      </c>
      <c r="M2" s="4" t="s">
        <v>130</v>
      </c>
      <c r="N2" s="4" t="s">
        <v>140</v>
      </c>
      <c r="O2" s="4" t="s">
        <v>142</v>
      </c>
      <c r="P2">
        <f t="shared" ref="P2:P33" si="0">COUNTIFS($A:$A,$A2,$B:$B,$B2,$F:$F,$F2,$G:$G,$G2,$H:$H,$H2,$I:$I,$I2,$J:$J,$J2,$K:$K,$K2,$L:$L,$L2,$M:$M,$M2,$N:$N,$N2,$O:$O,$O2)</f>
        <v>1</v>
      </c>
    </row>
    <row r="3" spans="1:16" x14ac:dyDescent="0.3">
      <c r="A3" s="4">
        <v>1002</v>
      </c>
      <c r="B3" s="6" t="s">
        <v>12</v>
      </c>
      <c r="C3">
        <v>2025</v>
      </c>
      <c r="D3" s="6" t="s">
        <v>193</v>
      </c>
      <c r="E3" s="6" t="s">
        <v>194</v>
      </c>
      <c r="F3" s="4" t="s">
        <v>48</v>
      </c>
      <c r="G3" t="s">
        <v>180</v>
      </c>
      <c r="H3" t="s">
        <v>183</v>
      </c>
      <c r="I3" s="4" t="s">
        <v>94</v>
      </c>
      <c r="J3" s="8">
        <v>61</v>
      </c>
      <c r="K3" s="9">
        <v>45</v>
      </c>
      <c r="L3" s="9">
        <v>2745</v>
      </c>
      <c r="M3" s="4" t="s">
        <v>131</v>
      </c>
      <c r="N3" s="4" t="s">
        <v>140</v>
      </c>
      <c r="O3" s="4" t="s">
        <v>143</v>
      </c>
      <c r="P3">
        <f t="shared" si="0"/>
        <v>1</v>
      </c>
    </row>
    <row r="4" spans="1:16" x14ac:dyDescent="0.3">
      <c r="A4" s="4">
        <v>1003</v>
      </c>
      <c r="B4" s="6" t="s">
        <v>13</v>
      </c>
      <c r="C4">
        <v>2025</v>
      </c>
      <c r="D4" s="6" t="s">
        <v>193</v>
      </c>
      <c r="E4" s="6" t="s">
        <v>195</v>
      </c>
      <c r="F4" s="4" t="s">
        <v>49</v>
      </c>
      <c r="G4" t="s">
        <v>180</v>
      </c>
      <c r="H4" t="s">
        <v>186</v>
      </c>
      <c r="I4" s="4" t="s">
        <v>95</v>
      </c>
      <c r="J4" s="8">
        <v>53</v>
      </c>
      <c r="K4" s="9">
        <f>L4/J4</f>
        <v>180</v>
      </c>
      <c r="L4" s="9">
        <v>9540</v>
      </c>
      <c r="M4" s="4" t="s">
        <v>132</v>
      </c>
      <c r="N4" s="4" t="s">
        <v>140</v>
      </c>
      <c r="O4" s="4" t="s">
        <v>142</v>
      </c>
      <c r="P4">
        <f t="shared" si="0"/>
        <v>1</v>
      </c>
    </row>
    <row r="5" spans="1:16" x14ac:dyDescent="0.3">
      <c r="A5" s="4">
        <v>1004</v>
      </c>
      <c r="B5" s="6" t="s">
        <v>13</v>
      </c>
      <c r="C5">
        <v>2025</v>
      </c>
      <c r="D5" s="6" t="s">
        <v>193</v>
      </c>
      <c r="E5" s="6" t="s">
        <v>195</v>
      </c>
      <c r="F5" s="4" t="s">
        <v>47</v>
      </c>
      <c r="G5" t="s">
        <v>180</v>
      </c>
      <c r="H5" t="s">
        <v>182</v>
      </c>
      <c r="I5" s="4" t="s">
        <v>93</v>
      </c>
      <c r="J5" s="8">
        <v>72</v>
      </c>
      <c r="K5" s="9">
        <v>750</v>
      </c>
      <c r="L5" s="9">
        <v>54000</v>
      </c>
      <c r="M5" s="4" t="s">
        <v>130</v>
      </c>
      <c r="N5" s="4" t="s">
        <v>141</v>
      </c>
      <c r="O5" s="4" t="s">
        <v>144</v>
      </c>
      <c r="P5">
        <f t="shared" si="0"/>
        <v>1</v>
      </c>
    </row>
    <row r="6" spans="1:16" x14ac:dyDescent="0.3">
      <c r="A6" s="4">
        <v>1005</v>
      </c>
      <c r="B6" s="6" t="s">
        <v>14</v>
      </c>
      <c r="C6">
        <v>2025</v>
      </c>
      <c r="D6" s="6" t="s">
        <v>193</v>
      </c>
      <c r="E6" s="6" t="s">
        <v>196</v>
      </c>
      <c r="F6" s="4" t="s">
        <v>50</v>
      </c>
      <c r="G6" t="s">
        <v>180</v>
      </c>
      <c r="H6" t="s">
        <v>184</v>
      </c>
      <c r="I6" s="4" t="s">
        <v>95</v>
      </c>
      <c r="J6" s="8">
        <v>113</v>
      </c>
      <c r="K6" s="9">
        <v>250</v>
      </c>
      <c r="L6" s="9">
        <v>28250</v>
      </c>
      <c r="M6" s="4" t="s">
        <v>133</v>
      </c>
      <c r="N6" s="4" t="s">
        <v>140</v>
      </c>
      <c r="O6" s="4" t="s">
        <v>144</v>
      </c>
      <c r="P6">
        <f t="shared" si="0"/>
        <v>1</v>
      </c>
    </row>
    <row r="7" spans="1:16" x14ac:dyDescent="0.3">
      <c r="A7" s="4">
        <v>1006</v>
      </c>
      <c r="B7" s="6" t="s">
        <v>14</v>
      </c>
      <c r="C7">
        <v>2025</v>
      </c>
      <c r="D7" s="6" t="s">
        <v>193</v>
      </c>
      <c r="E7" s="6" t="s">
        <v>196</v>
      </c>
      <c r="F7" s="4" t="s">
        <v>51</v>
      </c>
      <c r="G7" t="s">
        <v>180</v>
      </c>
      <c r="H7" t="s">
        <v>185</v>
      </c>
      <c r="I7" s="4" t="s">
        <v>96</v>
      </c>
      <c r="J7" s="8">
        <v>101</v>
      </c>
      <c r="K7" s="9">
        <v>320</v>
      </c>
      <c r="L7" s="9">
        <v>32320</v>
      </c>
      <c r="M7" s="4" t="s">
        <v>131</v>
      </c>
      <c r="N7" s="4" t="s">
        <v>141</v>
      </c>
      <c r="O7" s="4" t="s">
        <v>143</v>
      </c>
      <c r="P7">
        <f t="shared" si="0"/>
        <v>1</v>
      </c>
    </row>
    <row r="8" spans="1:16" x14ac:dyDescent="0.3">
      <c r="A8" s="4">
        <v>1007</v>
      </c>
      <c r="B8" s="6" t="s">
        <v>15</v>
      </c>
      <c r="C8">
        <v>2025</v>
      </c>
      <c r="D8" s="6" t="s">
        <v>193</v>
      </c>
      <c r="E8" s="6" t="s">
        <v>197</v>
      </c>
      <c r="F8" s="4" t="s">
        <v>52</v>
      </c>
      <c r="G8" t="s">
        <v>181</v>
      </c>
      <c r="H8" t="s">
        <v>186</v>
      </c>
      <c r="I8" s="4" t="s">
        <v>95</v>
      </c>
      <c r="J8" s="8">
        <v>85</v>
      </c>
      <c r="K8" s="9">
        <v>180</v>
      </c>
      <c r="L8" s="9">
        <v>15300</v>
      </c>
      <c r="M8" s="4" t="s">
        <v>134</v>
      </c>
      <c r="N8" s="4" t="s">
        <v>141</v>
      </c>
      <c r="O8" s="4" t="s">
        <v>143</v>
      </c>
      <c r="P8">
        <f t="shared" si="0"/>
        <v>1</v>
      </c>
    </row>
    <row r="9" spans="1:16" x14ac:dyDescent="0.3">
      <c r="A9" s="4">
        <v>1008</v>
      </c>
      <c r="B9" s="6" t="s">
        <v>15</v>
      </c>
      <c r="C9">
        <v>2025</v>
      </c>
      <c r="D9" s="6" t="s">
        <v>193</v>
      </c>
      <c r="E9" s="6" t="s">
        <v>197</v>
      </c>
      <c r="F9" s="4" t="s">
        <v>53</v>
      </c>
      <c r="G9" t="s">
        <v>181</v>
      </c>
      <c r="H9" t="s">
        <v>183</v>
      </c>
      <c r="I9" s="4" t="s">
        <v>94</v>
      </c>
      <c r="J9" s="8">
        <v>15</v>
      </c>
      <c r="K9" s="9">
        <v>45</v>
      </c>
      <c r="L9" s="9">
        <v>675</v>
      </c>
      <c r="M9" s="4" t="s">
        <v>135</v>
      </c>
      <c r="N9" s="4" t="s">
        <v>141</v>
      </c>
      <c r="O9" s="4" t="s">
        <v>145</v>
      </c>
      <c r="P9">
        <f t="shared" si="0"/>
        <v>1</v>
      </c>
    </row>
    <row r="10" spans="1:16" x14ac:dyDescent="0.3">
      <c r="A10" s="4">
        <v>1009</v>
      </c>
      <c r="B10" s="6" t="s">
        <v>16</v>
      </c>
      <c r="C10">
        <v>2025</v>
      </c>
      <c r="D10" s="6" t="s">
        <v>193</v>
      </c>
      <c r="E10" s="6" t="s">
        <v>198</v>
      </c>
      <c r="F10" s="4" t="s">
        <v>47</v>
      </c>
      <c r="G10" t="s">
        <v>180</v>
      </c>
      <c r="H10" t="s">
        <v>186</v>
      </c>
      <c r="I10" s="4" t="s">
        <v>95</v>
      </c>
      <c r="J10" s="8">
        <v>14</v>
      </c>
      <c r="K10" s="9">
        <v>180</v>
      </c>
      <c r="L10" s="9">
        <v>2520</v>
      </c>
      <c r="M10" s="4" t="s">
        <v>133</v>
      </c>
      <c r="N10" s="4" t="s">
        <v>141</v>
      </c>
      <c r="O10" s="4" t="s">
        <v>143</v>
      </c>
      <c r="P10">
        <f t="shared" si="0"/>
        <v>1</v>
      </c>
    </row>
    <row r="11" spans="1:16" x14ac:dyDescent="0.3">
      <c r="A11" s="4">
        <v>1010</v>
      </c>
      <c r="B11" s="6" t="s">
        <v>16</v>
      </c>
      <c r="C11">
        <v>2025</v>
      </c>
      <c r="D11" s="6" t="s">
        <v>193</v>
      </c>
      <c r="E11" s="6" t="s">
        <v>198</v>
      </c>
      <c r="F11" s="4" t="s">
        <v>48</v>
      </c>
      <c r="G11" t="s">
        <v>180</v>
      </c>
      <c r="H11" t="s">
        <v>183</v>
      </c>
      <c r="I11" s="4" t="s">
        <v>94</v>
      </c>
      <c r="J11" s="8">
        <v>99</v>
      </c>
      <c r="K11" s="9">
        <v>45</v>
      </c>
      <c r="L11" s="9">
        <v>4455</v>
      </c>
      <c r="M11" s="4" t="s">
        <v>135</v>
      </c>
      <c r="N11" s="4" t="s">
        <v>140</v>
      </c>
      <c r="O11" s="4" t="s">
        <v>142</v>
      </c>
      <c r="P11">
        <f t="shared" si="0"/>
        <v>1</v>
      </c>
    </row>
    <row r="12" spans="1:16" x14ac:dyDescent="0.3">
      <c r="A12" s="4">
        <v>1011</v>
      </c>
      <c r="B12" s="6" t="s">
        <v>17</v>
      </c>
      <c r="C12">
        <v>2025</v>
      </c>
      <c r="D12" s="6" t="s">
        <v>193</v>
      </c>
      <c r="E12" s="6" t="s">
        <v>199</v>
      </c>
      <c r="F12" s="4" t="s">
        <v>202</v>
      </c>
      <c r="G12" t="s">
        <v>180</v>
      </c>
      <c r="H12" t="s">
        <v>185</v>
      </c>
      <c r="I12" s="4" t="s">
        <v>96</v>
      </c>
      <c r="J12" s="8">
        <v>71</v>
      </c>
      <c r="K12" s="9">
        <v>320</v>
      </c>
      <c r="L12" s="9">
        <v>22720</v>
      </c>
      <c r="M12" s="4" t="s">
        <v>203</v>
      </c>
      <c r="N12" s="4" t="s">
        <v>140</v>
      </c>
      <c r="O12" s="4" t="s">
        <v>144</v>
      </c>
      <c r="P12">
        <f t="shared" si="0"/>
        <v>1</v>
      </c>
    </row>
    <row r="13" spans="1:16" x14ac:dyDescent="0.3">
      <c r="A13" s="4">
        <v>1012</v>
      </c>
      <c r="B13" s="6" t="s">
        <v>17</v>
      </c>
      <c r="C13">
        <v>2025</v>
      </c>
      <c r="D13" s="6" t="s">
        <v>193</v>
      </c>
      <c r="E13" s="6" t="s">
        <v>199</v>
      </c>
      <c r="F13" s="4" t="s">
        <v>55</v>
      </c>
      <c r="G13" t="s">
        <v>181</v>
      </c>
      <c r="H13" t="s">
        <v>186</v>
      </c>
      <c r="I13" s="4" t="s">
        <v>95</v>
      </c>
      <c r="J13" s="8">
        <v>33</v>
      </c>
      <c r="K13" s="9">
        <v>180</v>
      </c>
      <c r="L13" s="9">
        <v>5940</v>
      </c>
      <c r="M13" s="4" t="s">
        <v>137</v>
      </c>
      <c r="N13" s="4" t="s">
        <v>141</v>
      </c>
      <c r="O13" s="4" t="s">
        <v>144</v>
      </c>
      <c r="P13">
        <f t="shared" si="0"/>
        <v>1</v>
      </c>
    </row>
    <row r="14" spans="1:16" x14ac:dyDescent="0.3">
      <c r="A14" s="4">
        <v>1013</v>
      </c>
      <c r="B14" s="6" t="s">
        <v>18</v>
      </c>
      <c r="C14">
        <v>2025</v>
      </c>
      <c r="D14" s="6" t="s">
        <v>193</v>
      </c>
      <c r="E14" s="6" t="s">
        <v>200</v>
      </c>
      <c r="F14" s="4" t="s">
        <v>48</v>
      </c>
      <c r="G14" t="s">
        <v>180</v>
      </c>
      <c r="H14" t="s">
        <v>70</v>
      </c>
      <c r="I14" s="4" t="s">
        <v>96</v>
      </c>
      <c r="J14" s="8">
        <v>108</v>
      </c>
      <c r="K14" s="9">
        <v>320</v>
      </c>
      <c r="L14" s="9">
        <v>34560</v>
      </c>
      <c r="M14" s="4" t="s">
        <v>135</v>
      </c>
      <c r="N14" s="4" t="s">
        <v>141</v>
      </c>
      <c r="O14" s="4" t="s">
        <v>144</v>
      </c>
      <c r="P14">
        <f t="shared" si="0"/>
        <v>1</v>
      </c>
    </row>
    <row r="15" spans="1:16" x14ac:dyDescent="0.3">
      <c r="A15" s="4">
        <v>1014</v>
      </c>
      <c r="B15" s="6" t="s">
        <v>18</v>
      </c>
      <c r="C15">
        <v>2025</v>
      </c>
      <c r="D15" s="6" t="s">
        <v>193</v>
      </c>
      <c r="E15" s="6" t="s">
        <v>200</v>
      </c>
      <c r="F15" s="4" t="s">
        <v>202</v>
      </c>
      <c r="G15" t="s">
        <v>180</v>
      </c>
      <c r="H15" t="s">
        <v>182</v>
      </c>
      <c r="I15" s="4" t="s">
        <v>93</v>
      </c>
      <c r="J15" s="8">
        <v>110</v>
      </c>
      <c r="K15" s="9">
        <v>750</v>
      </c>
      <c r="L15" s="9">
        <v>82500</v>
      </c>
      <c r="M15" s="4" t="s">
        <v>133</v>
      </c>
      <c r="N15" s="4" t="s">
        <v>141</v>
      </c>
      <c r="O15" s="4" t="s">
        <v>144</v>
      </c>
      <c r="P15">
        <f t="shared" si="0"/>
        <v>1</v>
      </c>
    </row>
    <row r="16" spans="1:16" x14ac:dyDescent="0.3">
      <c r="A16" s="4">
        <v>1015</v>
      </c>
      <c r="B16" s="6" t="s">
        <v>19</v>
      </c>
      <c r="C16">
        <v>2025</v>
      </c>
      <c r="D16" s="6" t="s">
        <v>193</v>
      </c>
      <c r="E16" s="6" t="s">
        <v>194</v>
      </c>
      <c r="F16" s="4" t="s">
        <v>202</v>
      </c>
      <c r="G16" t="s">
        <v>180</v>
      </c>
      <c r="H16" t="s">
        <v>183</v>
      </c>
      <c r="I16" s="4" t="s">
        <v>94</v>
      </c>
      <c r="J16" s="8">
        <v>113</v>
      </c>
      <c r="K16" s="9">
        <v>45</v>
      </c>
      <c r="L16" s="9">
        <v>5085</v>
      </c>
      <c r="M16" s="4" t="s">
        <v>138</v>
      </c>
      <c r="N16" s="4" t="s">
        <v>141</v>
      </c>
      <c r="O16" s="4" t="s">
        <v>143</v>
      </c>
      <c r="P16">
        <f t="shared" si="0"/>
        <v>1</v>
      </c>
    </row>
    <row r="17" spans="1:16" x14ac:dyDescent="0.3">
      <c r="A17" s="4">
        <v>1016</v>
      </c>
      <c r="B17" s="6" t="s">
        <v>19</v>
      </c>
      <c r="C17">
        <v>2025</v>
      </c>
      <c r="D17" s="6" t="s">
        <v>193</v>
      </c>
      <c r="E17" s="6" t="s">
        <v>194</v>
      </c>
      <c r="F17" s="4" t="s">
        <v>48</v>
      </c>
      <c r="G17" t="s">
        <v>180</v>
      </c>
      <c r="H17" t="s">
        <v>184</v>
      </c>
      <c r="I17" s="4" t="s">
        <v>95</v>
      </c>
      <c r="J17" s="8">
        <v>149</v>
      </c>
      <c r="K17" s="9">
        <v>250</v>
      </c>
      <c r="L17" s="9">
        <v>37250</v>
      </c>
      <c r="M17" s="4" t="s">
        <v>139</v>
      </c>
      <c r="N17" s="4" t="s">
        <v>141</v>
      </c>
      <c r="O17" s="4" t="s">
        <v>142</v>
      </c>
      <c r="P17">
        <f t="shared" si="0"/>
        <v>1</v>
      </c>
    </row>
    <row r="18" spans="1:16" x14ac:dyDescent="0.3">
      <c r="A18" s="4">
        <v>1017</v>
      </c>
      <c r="B18" s="6" t="s">
        <v>20</v>
      </c>
      <c r="C18">
        <v>2025</v>
      </c>
      <c r="D18" s="6" t="s">
        <v>193</v>
      </c>
      <c r="E18" s="6" t="s">
        <v>195</v>
      </c>
      <c r="F18" s="4" t="s">
        <v>49</v>
      </c>
      <c r="G18" t="s">
        <v>180</v>
      </c>
      <c r="H18" t="s">
        <v>185</v>
      </c>
      <c r="I18" s="4" t="s">
        <v>96</v>
      </c>
      <c r="J18" s="8">
        <v>115</v>
      </c>
      <c r="K18" s="9">
        <v>320</v>
      </c>
      <c r="L18" s="9">
        <v>36800</v>
      </c>
      <c r="M18" s="4" t="s">
        <v>134</v>
      </c>
      <c r="N18" s="4" t="s">
        <v>141</v>
      </c>
      <c r="O18" s="4" t="s">
        <v>142</v>
      </c>
      <c r="P18">
        <f t="shared" si="0"/>
        <v>1</v>
      </c>
    </row>
    <row r="19" spans="1:16" x14ac:dyDescent="0.3">
      <c r="A19" s="4">
        <v>1018</v>
      </c>
      <c r="B19" s="6" t="s">
        <v>20</v>
      </c>
      <c r="C19">
        <v>2025</v>
      </c>
      <c r="D19" s="6" t="s">
        <v>193</v>
      </c>
      <c r="E19" s="6" t="s">
        <v>195</v>
      </c>
      <c r="F19" s="4" t="s">
        <v>55</v>
      </c>
      <c r="G19" t="s">
        <v>181</v>
      </c>
      <c r="H19" t="s">
        <v>182</v>
      </c>
      <c r="I19" s="4" t="s">
        <v>93</v>
      </c>
      <c r="J19" s="8">
        <v>18</v>
      </c>
      <c r="K19" s="9">
        <v>750</v>
      </c>
      <c r="L19" s="9">
        <v>13500</v>
      </c>
      <c r="M19" s="4" t="s">
        <v>134</v>
      </c>
      <c r="N19" s="4" t="s">
        <v>141</v>
      </c>
      <c r="O19" s="4" t="s">
        <v>145</v>
      </c>
      <c r="P19">
        <f t="shared" si="0"/>
        <v>1</v>
      </c>
    </row>
    <row r="20" spans="1:16" x14ac:dyDescent="0.3">
      <c r="A20" s="4">
        <v>1019</v>
      </c>
      <c r="B20" s="6" t="s">
        <v>21</v>
      </c>
      <c r="C20">
        <v>2025</v>
      </c>
      <c r="D20" s="6" t="s">
        <v>193</v>
      </c>
      <c r="E20" s="6" t="s">
        <v>196</v>
      </c>
      <c r="F20" s="4" t="s">
        <v>49</v>
      </c>
      <c r="G20" t="s">
        <v>180</v>
      </c>
      <c r="H20" t="s">
        <v>183</v>
      </c>
      <c r="I20" s="4" t="s">
        <v>94</v>
      </c>
      <c r="J20" s="8">
        <v>91</v>
      </c>
      <c r="K20" s="9">
        <v>45</v>
      </c>
      <c r="L20" s="9">
        <v>4095</v>
      </c>
      <c r="M20" s="4" t="s">
        <v>137</v>
      </c>
      <c r="N20" s="4" t="s">
        <v>140</v>
      </c>
      <c r="O20" s="4" t="s">
        <v>145</v>
      </c>
      <c r="P20">
        <f t="shared" si="0"/>
        <v>1</v>
      </c>
    </row>
    <row r="21" spans="1:16" x14ac:dyDescent="0.3">
      <c r="A21" s="4">
        <v>1020</v>
      </c>
      <c r="B21" s="6" t="s">
        <v>21</v>
      </c>
      <c r="C21">
        <v>2025</v>
      </c>
      <c r="D21" s="6" t="s">
        <v>193</v>
      </c>
      <c r="E21" s="6" t="s">
        <v>196</v>
      </c>
      <c r="F21" s="4" t="s">
        <v>50</v>
      </c>
      <c r="G21" t="s">
        <v>180</v>
      </c>
      <c r="H21" t="s">
        <v>184</v>
      </c>
      <c r="I21" s="4" t="s">
        <v>95</v>
      </c>
      <c r="J21" s="8">
        <v>56</v>
      </c>
      <c r="K21" s="9">
        <v>250</v>
      </c>
      <c r="L21" s="9">
        <v>14000</v>
      </c>
      <c r="M21" s="4" t="s">
        <v>131</v>
      </c>
      <c r="N21" s="4" t="s">
        <v>141</v>
      </c>
      <c r="O21" s="4" t="s">
        <v>144</v>
      </c>
      <c r="P21">
        <f t="shared" si="0"/>
        <v>1</v>
      </c>
    </row>
    <row r="22" spans="1:16" s="12" customFormat="1" x14ac:dyDescent="0.3">
      <c r="A22" s="10">
        <v>1021</v>
      </c>
      <c r="B22" s="11" t="s">
        <v>22</v>
      </c>
      <c r="C22">
        <v>2025</v>
      </c>
      <c r="D22" s="6" t="s">
        <v>193</v>
      </c>
      <c r="E22" s="6" t="s">
        <v>197</v>
      </c>
      <c r="F22" s="10" t="s">
        <v>202</v>
      </c>
      <c r="G22" s="12" t="s">
        <v>180</v>
      </c>
      <c r="H22" s="12" t="s">
        <v>78</v>
      </c>
      <c r="I22" s="10" t="s">
        <v>94</v>
      </c>
      <c r="J22" s="13">
        <v>1.7999999999999999E-2</v>
      </c>
      <c r="K22" s="14">
        <v>25000</v>
      </c>
      <c r="L22" s="14">
        <v>450</v>
      </c>
      <c r="M22" s="10" t="s">
        <v>131</v>
      </c>
      <c r="N22" s="10" t="s">
        <v>140</v>
      </c>
      <c r="O22" s="10" t="s">
        <v>142</v>
      </c>
      <c r="P22">
        <f t="shared" si="0"/>
        <v>1</v>
      </c>
    </row>
    <row r="23" spans="1:16" x14ac:dyDescent="0.3">
      <c r="A23" s="4">
        <v>1022</v>
      </c>
      <c r="B23" s="6" t="s">
        <v>22</v>
      </c>
      <c r="C23">
        <v>2025</v>
      </c>
      <c r="D23" s="6" t="s">
        <v>193</v>
      </c>
      <c r="E23" s="6" t="s">
        <v>197</v>
      </c>
      <c r="F23" s="4" t="s">
        <v>202</v>
      </c>
      <c r="G23" t="s">
        <v>180</v>
      </c>
      <c r="H23" t="s">
        <v>182</v>
      </c>
      <c r="I23" s="4" t="s">
        <v>93</v>
      </c>
      <c r="J23" s="8">
        <v>20</v>
      </c>
      <c r="K23" s="9">
        <v>750</v>
      </c>
      <c r="L23" s="9">
        <v>15000</v>
      </c>
      <c r="M23" s="4" t="s">
        <v>133</v>
      </c>
      <c r="N23" s="4" t="s">
        <v>141</v>
      </c>
      <c r="O23" s="4" t="s">
        <v>143</v>
      </c>
      <c r="P23">
        <f t="shared" si="0"/>
        <v>1</v>
      </c>
    </row>
    <row r="24" spans="1:16" x14ac:dyDescent="0.3">
      <c r="A24" s="4">
        <v>1023</v>
      </c>
      <c r="B24" s="6" t="s">
        <v>23</v>
      </c>
      <c r="C24">
        <v>2025</v>
      </c>
      <c r="D24" s="6" t="s">
        <v>193</v>
      </c>
      <c r="E24" s="6" t="s">
        <v>198</v>
      </c>
      <c r="F24" s="4" t="s">
        <v>47</v>
      </c>
      <c r="G24" t="s">
        <v>180</v>
      </c>
      <c r="H24" t="s">
        <v>186</v>
      </c>
      <c r="I24" s="4" t="s">
        <v>95</v>
      </c>
      <c r="J24" s="8">
        <v>72</v>
      </c>
      <c r="K24" s="9">
        <v>180</v>
      </c>
      <c r="L24" s="9">
        <v>12960</v>
      </c>
      <c r="M24" s="4" t="s">
        <v>138</v>
      </c>
      <c r="N24" s="4" t="s">
        <v>140</v>
      </c>
      <c r="O24" s="4" t="s">
        <v>145</v>
      </c>
      <c r="P24">
        <f t="shared" si="0"/>
        <v>1</v>
      </c>
    </row>
    <row r="25" spans="1:16" x14ac:dyDescent="0.3">
      <c r="A25" s="4">
        <v>1024</v>
      </c>
      <c r="B25" s="6" t="s">
        <v>23</v>
      </c>
      <c r="C25">
        <v>2025</v>
      </c>
      <c r="D25" s="6" t="s">
        <v>193</v>
      </c>
      <c r="E25" s="6" t="s">
        <v>198</v>
      </c>
      <c r="F25" s="4" t="s">
        <v>55</v>
      </c>
      <c r="G25" t="s">
        <v>181</v>
      </c>
      <c r="H25" t="s">
        <v>187</v>
      </c>
      <c r="I25" s="4" t="s">
        <v>97</v>
      </c>
      <c r="J25" s="8">
        <v>35</v>
      </c>
      <c r="K25" s="9">
        <v>170</v>
      </c>
      <c r="L25" s="9">
        <v>5950</v>
      </c>
      <c r="M25" s="4" t="s">
        <v>134</v>
      </c>
      <c r="N25" s="4" t="s">
        <v>140</v>
      </c>
      <c r="O25" s="4" t="s">
        <v>144</v>
      </c>
      <c r="P25">
        <f t="shared" si="0"/>
        <v>1</v>
      </c>
    </row>
    <row r="26" spans="1:16" x14ac:dyDescent="0.3">
      <c r="A26" s="4">
        <v>1025</v>
      </c>
      <c r="B26" s="6" t="s">
        <v>24</v>
      </c>
      <c r="C26">
        <v>2025</v>
      </c>
      <c r="D26" s="6" t="s">
        <v>193</v>
      </c>
      <c r="E26" s="6" t="s">
        <v>199</v>
      </c>
      <c r="F26" s="4" t="s">
        <v>56</v>
      </c>
      <c r="G26" t="s">
        <v>180</v>
      </c>
      <c r="H26" t="s">
        <v>182</v>
      </c>
      <c r="I26" s="4" t="s">
        <v>93</v>
      </c>
      <c r="J26" s="8">
        <v>34</v>
      </c>
      <c r="K26" s="9">
        <v>750</v>
      </c>
      <c r="L26" s="9">
        <v>25500</v>
      </c>
      <c r="M26" s="4" t="s">
        <v>138</v>
      </c>
      <c r="N26" s="4" t="s">
        <v>140</v>
      </c>
      <c r="O26" s="4" t="s">
        <v>142</v>
      </c>
      <c r="P26">
        <f t="shared" si="0"/>
        <v>1</v>
      </c>
    </row>
    <row r="27" spans="1:16" x14ac:dyDescent="0.3">
      <c r="A27" s="4">
        <v>1026</v>
      </c>
      <c r="B27" s="6" t="s">
        <v>24</v>
      </c>
      <c r="C27">
        <v>2025</v>
      </c>
      <c r="D27" s="6" t="s">
        <v>193</v>
      </c>
      <c r="E27" s="6" t="s">
        <v>199</v>
      </c>
      <c r="F27" s="4" t="s">
        <v>52</v>
      </c>
      <c r="G27" t="s">
        <v>181</v>
      </c>
      <c r="H27" t="s">
        <v>188</v>
      </c>
      <c r="I27" s="4" t="s">
        <v>96</v>
      </c>
      <c r="J27" s="8">
        <v>106</v>
      </c>
      <c r="K27" s="9">
        <v>220</v>
      </c>
      <c r="L27" s="9">
        <v>23320</v>
      </c>
      <c r="M27" s="4" t="s">
        <v>137</v>
      </c>
      <c r="N27" s="4" t="s">
        <v>140</v>
      </c>
      <c r="O27" s="4" t="s">
        <v>145</v>
      </c>
      <c r="P27">
        <f t="shared" si="0"/>
        <v>1</v>
      </c>
    </row>
    <row r="28" spans="1:16" x14ac:dyDescent="0.3">
      <c r="A28" s="4">
        <v>1027</v>
      </c>
      <c r="B28" s="6" t="s">
        <v>25</v>
      </c>
      <c r="C28">
        <v>2025</v>
      </c>
      <c r="D28" s="6" t="s">
        <v>193</v>
      </c>
      <c r="E28" s="6" t="s">
        <v>200</v>
      </c>
      <c r="F28" s="4" t="s">
        <v>57</v>
      </c>
      <c r="G28" t="s">
        <v>181</v>
      </c>
      <c r="H28" t="s">
        <v>182</v>
      </c>
      <c r="I28" s="4" t="s">
        <v>93</v>
      </c>
      <c r="J28" s="8">
        <v>122</v>
      </c>
      <c r="K28" s="9">
        <v>750</v>
      </c>
      <c r="L28" s="9">
        <v>91500</v>
      </c>
      <c r="M28" s="4" t="s">
        <v>131</v>
      </c>
      <c r="N28" s="4" t="s">
        <v>140</v>
      </c>
      <c r="O28" s="4" t="s">
        <v>142</v>
      </c>
      <c r="P28">
        <f t="shared" si="0"/>
        <v>1</v>
      </c>
    </row>
    <row r="29" spans="1:16" x14ac:dyDescent="0.3">
      <c r="A29" s="4">
        <v>1028</v>
      </c>
      <c r="B29" s="6" t="s">
        <v>25</v>
      </c>
      <c r="C29">
        <v>2025</v>
      </c>
      <c r="D29" s="6" t="s">
        <v>193</v>
      </c>
      <c r="E29" s="6" t="s">
        <v>200</v>
      </c>
      <c r="F29" s="4" t="s">
        <v>202</v>
      </c>
      <c r="G29" t="s">
        <v>180</v>
      </c>
      <c r="H29" t="s">
        <v>183</v>
      </c>
      <c r="I29" s="4" t="s">
        <v>94</v>
      </c>
      <c r="J29" s="8">
        <v>122</v>
      </c>
      <c r="K29" s="9">
        <v>45</v>
      </c>
      <c r="L29" s="9">
        <v>5490</v>
      </c>
      <c r="M29" s="4" t="s">
        <v>134</v>
      </c>
      <c r="N29" s="4" t="s">
        <v>140</v>
      </c>
      <c r="O29" s="4" t="s">
        <v>144</v>
      </c>
      <c r="P29">
        <f t="shared" si="0"/>
        <v>1</v>
      </c>
    </row>
    <row r="30" spans="1:16" x14ac:dyDescent="0.3">
      <c r="A30" s="4">
        <v>1029</v>
      </c>
      <c r="B30" s="6" t="s">
        <v>26</v>
      </c>
      <c r="C30">
        <v>2025</v>
      </c>
      <c r="D30" s="6" t="s">
        <v>193</v>
      </c>
      <c r="E30" s="6" t="s">
        <v>194</v>
      </c>
      <c r="F30" s="4" t="s">
        <v>58</v>
      </c>
      <c r="G30" t="s">
        <v>181</v>
      </c>
      <c r="H30" t="s">
        <v>184</v>
      </c>
      <c r="I30" s="4" t="s">
        <v>95</v>
      </c>
      <c r="J30" s="8">
        <v>50</v>
      </c>
      <c r="K30" s="9">
        <v>250</v>
      </c>
      <c r="L30" s="9">
        <v>12500</v>
      </c>
      <c r="M30" s="4" t="s">
        <v>138</v>
      </c>
      <c r="N30" s="4" t="s">
        <v>141</v>
      </c>
      <c r="O30" s="4" t="s">
        <v>144</v>
      </c>
      <c r="P30">
        <f t="shared" si="0"/>
        <v>1</v>
      </c>
    </row>
    <row r="31" spans="1:16" x14ac:dyDescent="0.3">
      <c r="A31" s="4">
        <v>1030</v>
      </c>
      <c r="B31" s="6" t="s">
        <v>26</v>
      </c>
      <c r="C31">
        <v>2025</v>
      </c>
      <c r="D31" s="6" t="s">
        <v>193</v>
      </c>
      <c r="E31" s="6" t="s">
        <v>194</v>
      </c>
      <c r="F31" s="4" t="s">
        <v>51</v>
      </c>
      <c r="G31" t="s">
        <v>180</v>
      </c>
      <c r="H31" t="s">
        <v>186</v>
      </c>
      <c r="I31" s="4" t="s">
        <v>95</v>
      </c>
      <c r="J31" s="8">
        <v>138</v>
      </c>
      <c r="K31" s="9">
        <v>180</v>
      </c>
      <c r="L31" s="9">
        <v>24840</v>
      </c>
      <c r="M31" s="4" t="s">
        <v>134</v>
      </c>
      <c r="N31" s="4" t="s">
        <v>140</v>
      </c>
      <c r="O31" s="4" t="s">
        <v>145</v>
      </c>
      <c r="P31">
        <f t="shared" si="0"/>
        <v>1</v>
      </c>
    </row>
    <row r="32" spans="1:16" x14ac:dyDescent="0.3">
      <c r="A32" s="4">
        <v>1031</v>
      </c>
      <c r="B32" s="6" t="s">
        <v>27</v>
      </c>
      <c r="C32">
        <v>2025</v>
      </c>
      <c r="D32" s="6" t="s">
        <v>193</v>
      </c>
      <c r="E32" s="6" t="s">
        <v>195</v>
      </c>
      <c r="F32" s="4" t="s">
        <v>56</v>
      </c>
      <c r="G32" t="s">
        <v>180</v>
      </c>
      <c r="H32" t="s">
        <v>184</v>
      </c>
      <c r="I32" s="4" t="s">
        <v>95</v>
      </c>
      <c r="J32" s="8">
        <v>101</v>
      </c>
      <c r="K32" s="9">
        <v>250</v>
      </c>
      <c r="L32" s="9">
        <v>25250</v>
      </c>
      <c r="M32" s="4" t="s">
        <v>130</v>
      </c>
      <c r="N32" s="4" t="s">
        <v>141</v>
      </c>
      <c r="O32" s="4" t="s">
        <v>143</v>
      </c>
      <c r="P32">
        <f t="shared" si="0"/>
        <v>1</v>
      </c>
    </row>
    <row r="33" spans="1:16" x14ac:dyDescent="0.3">
      <c r="A33" s="4">
        <v>1032</v>
      </c>
      <c r="B33" s="6" t="s">
        <v>27</v>
      </c>
      <c r="C33">
        <v>2025</v>
      </c>
      <c r="D33" s="6" t="s">
        <v>193</v>
      </c>
      <c r="E33" s="6" t="s">
        <v>195</v>
      </c>
      <c r="F33" s="4" t="s">
        <v>58</v>
      </c>
      <c r="G33" t="s">
        <v>181</v>
      </c>
      <c r="H33" t="s">
        <v>186</v>
      </c>
      <c r="I33" s="4" t="s">
        <v>95</v>
      </c>
      <c r="J33" s="8">
        <v>58</v>
      </c>
      <c r="K33" s="9">
        <v>180</v>
      </c>
      <c r="L33" s="9">
        <v>10440</v>
      </c>
      <c r="M33" s="4" t="s">
        <v>139</v>
      </c>
      <c r="N33" s="4" t="s">
        <v>140</v>
      </c>
      <c r="O33" s="4" t="s">
        <v>144</v>
      </c>
      <c r="P33">
        <f t="shared" si="0"/>
        <v>1</v>
      </c>
    </row>
    <row r="34" spans="1:16" x14ac:dyDescent="0.3">
      <c r="A34" s="4">
        <v>1033</v>
      </c>
      <c r="B34" s="6" t="s">
        <v>28</v>
      </c>
      <c r="C34">
        <v>2025</v>
      </c>
      <c r="D34" s="6" t="s">
        <v>193</v>
      </c>
      <c r="E34" s="6" t="s">
        <v>196</v>
      </c>
      <c r="F34" s="4" t="s">
        <v>49</v>
      </c>
      <c r="G34" t="s">
        <v>180</v>
      </c>
      <c r="H34" t="s">
        <v>187</v>
      </c>
      <c r="I34" s="4" t="s">
        <v>97</v>
      </c>
      <c r="J34" s="8">
        <v>21</v>
      </c>
      <c r="K34" s="9">
        <v>170</v>
      </c>
      <c r="L34" s="9">
        <v>3570</v>
      </c>
      <c r="M34" s="4" t="s">
        <v>139</v>
      </c>
      <c r="N34" s="4" t="s">
        <v>140</v>
      </c>
      <c r="O34" s="4" t="s">
        <v>142</v>
      </c>
      <c r="P34">
        <f t="shared" ref="P34:P65" si="1">COUNTIFS($A:$A,$A34,$B:$B,$B34,$F:$F,$F34,$G:$G,$G34,$H:$H,$H34,$I:$I,$I34,$J:$J,$J34,$K:$K,$K34,$L:$L,$L34,$M:$M,$M34,$N:$N,$N34,$O:$O,$O34)</f>
        <v>1</v>
      </c>
    </row>
    <row r="35" spans="1:16" x14ac:dyDescent="0.3">
      <c r="A35" s="4">
        <v>1034</v>
      </c>
      <c r="B35" s="6" t="s">
        <v>28</v>
      </c>
      <c r="C35">
        <v>2025</v>
      </c>
      <c r="D35" s="6" t="s">
        <v>193</v>
      </c>
      <c r="E35" s="6" t="s">
        <v>196</v>
      </c>
      <c r="F35" s="4" t="s">
        <v>48</v>
      </c>
      <c r="G35" t="s">
        <v>180</v>
      </c>
      <c r="H35" t="s">
        <v>185</v>
      </c>
      <c r="I35" s="4" t="s">
        <v>96</v>
      </c>
      <c r="J35" s="8">
        <v>95</v>
      </c>
      <c r="K35" s="9">
        <v>320</v>
      </c>
      <c r="L35" s="9">
        <v>30400</v>
      </c>
      <c r="M35" s="4" t="s">
        <v>134</v>
      </c>
      <c r="N35" s="4" t="s">
        <v>140</v>
      </c>
      <c r="O35" s="4" t="s">
        <v>145</v>
      </c>
      <c r="P35">
        <f t="shared" si="1"/>
        <v>1</v>
      </c>
    </row>
    <row r="36" spans="1:16" x14ac:dyDescent="0.3">
      <c r="A36" s="4">
        <v>1035</v>
      </c>
      <c r="B36" s="6" t="s">
        <v>29</v>
      </c>
      <c r="C36">
        <v>2025</v>
      </c>
      <c r="D36" s="6" t="s">
        <v>193</v>
      </c>
      <c r="E36" s="6" t="s">
        <v>197</v>
      </c>
      <c r="F36" s="4" t="s">
        <v>53</v>
      </c>
      <c r="G36" t="s">
        <v>181</v>
      </c>
      <c r="H36" t="s">
        <v>185</v>
      </c>
      <c r="I36" s="4" t="s">
        <v>96</v>
      </c>
      <c r="J36" s="8">
        <v>90</v>
      </c>
      <c r="K36" s="9">
        <v>320</v>
      </c>
      <c r="L36" s="9">
        <v>28800</v>
      </c>
      <c r="M36" s="4" t="s">
        <v>130</v>
      </c>
      <c r="N36" s="4" t="s">
        <v>140</v>
      </c>
      <c r="O36" s="4" t="s">
        <v>145</v>
      </c>
      <c r="P36">
        <f t="shared" si="1"/>
        <v>1</v>
      </c>
    </row>
    <row r="37" spans="1:16" x14ac:dyDescent="0.3">
      <c r="A37" s="4">
        <v>1036</v>
      </c>
      <c r="B37" s="6" t="s">
        <v>29</v>
      </c>
      <c r="C37">
        <v>2025</v>
      </c>
      <c r="D37" s="6" t="s">
        <v>193</v>
      </c>
      <c r="E37" s="6" t="s">
        <v>197</v>
      </c>
      <c r="F37" s="4" t="s">
        <v>53</v>
      </c>
      <c r="G37" t="s">
        <v>181</v>
      </c>
      <c r="H37" t="s">
        <v>70</v>
      </c>
      <c r="I37" s="4" t="s">
        <v>96</v>
      </c>
      <c r="J37" s="8">
        <v>36</v>
      </c>
      <c r="K37" s="9">
        <v>320</v>
      </c>
      <c r="L37" s="9">
        <v>11520</v>
      </c>
      <c r="M37" s="4" t="s">
        <v>203</v>
      </c>
      <c r="N37" s="4" t="s">
        <v>141</v>
      </c>
      <c r="O37" s="4" t="s">
        <v>143</v>
      </c>
      <c r="P37">
        <f t="shared" si="1"/>
        <v>1</v>
      </c>
    </row>
    <row r="38" spans="1:16" x14ac:dyDescent="0.3">
      <c r="A38" s="4">
        <v>1037</v>
      </c>
      <c r="B38" s="6" t="s">
        <v>30</v>
      </c>
      <c r="C38">
        <v>2025</v>
      </c>
      <c r="D38" s="6" t="s">
        <v>193</v>
      </c>
      <c r="E38" s="6" t="s">
        <v>198</v>
      </c>
      <c r="F38" s="4" t="s">
        <v>53</v>
      </c>
      <c r="G38" t="s">
        <v>181</v>
      </c>
      <c r="H38" t="s">
        <v>183</v>
      </c>
      <c r="I38" s="4" t="s">
        <v>94</v>
      </c>
      <c r="J38" s="8">
        <v>28</v>
      </c>
      <c r="K38" s="9">
        <v>45</v>
      </c>
      <c r="L38" s="9">
        <v>1260</v>
      </c>
      <c r="M38" s="4" t="s">
        <v>137</v>
      </c>
      <c r="N38" s="4" t="s">
        <v>141</v>
      </c>
      <c r="O38" s="4" t="s">
        <v>143</v>
      </c>
      <c r="P38">
        <f t="shared" si="1"/>
        <v>1</v>
      </c>
    </row>
    <row r="39" spans="1:16" x14ac:dyDescent="0.3">
      <c r="A39" s="4">
        <v>1038</v>
      </c>
      <c r="B39" s="6" t="s">
        <v>30</v>
      </c>
      <c r="C39">
        <v>2025</v>
      </c>
      <c r="D39" s="6" t="s">
        <v>193</v>
      </c>
      <c r="E39" s="6" t="s">
        <v>198</v>
      </c>
      <c r="F39" s="4" t="s">
        <v>53</v>
      </c>
      <c r="G39" t="s">
        <v>181</v>
      </c>
      <c r="H39" t="s">
        <v>185</v>
      </c>
      <c r="I39" s="4" t="s">
        <v>96</v>
      </c>
      <c r="J39" s="8">
        <v>38</v>
      </c>
      <c r="K39" s="9">
        <v>320</v>
      </c>
      <c r="L39" s="9">
        <v>12160</v>
      </c>
      <c r="M39" s="4" t="s">
        <v>130</v>
      </c>
      <c r="N39" s="4" t="s">
        <v>141</v>
      </c>
      <c r="O39" s="4" t="s">
        <v>145</v>
      </c>
      <c r="P39">
        <f t="shared" si="1"/>
        <v>1</v>
      </c>
    </row>
    <row r="40" spans="1:16" x14ac:dyDescent="0.3">
      <c r="A40" s="4">
        <v>1039</v>
      </c>
      <c r="B40" s="6" t="s">
        <v>31</v>
      </c>
      <c r="C40">
        <v>2025</v>
      </c>
      <c r="D40" s="6" t="s">
        <v>193</v>
      </c>
      <c r="E40" s="6" t="s">
        <v>199</v>
      </c>
      <c r="F40" s="4" t="s">
        <v>57</v>
      </c>
      <c r="G40" t="s">
        <v>181</v>
      </c>
      <c r="H40" t="s">
        <v>188</v>
      </c>
      <c r="I40" s="4" t="s">
        <v>96</v>
      </c>
      <c r="J40" s="8">
        <v>80</v>
      </c>
      <c r="K40" s="9">
        <v>220</v>
      </c>
      <c r="L40" s="9">
        <v>17600</v>
      </c>
      <c r="M40" s="4" t="s">
        <v>137</v>
      </c>
      <c r="N40" s="4" t="s">
        <v>141</v>
      </c>
      <c r="O40" s="4" t="s">
        <v>142</v>
      </c>
      <c r="P40">
        <f t="shared" si="1"/>
        <v>1</v>
      </c>
    </row>
    <row r="41" spans="1:16" x14ac:dyDescent="0.3">
      <c r="A41" s="4">
        <v>1040</v>
      </c>
      <c r="B41" s="6" t="s">
        <v>31</v>
      </c>
      <c r="C41">
        <v>2025</v>
      </c>
      <c r="D41" s="6" t="s">
        <v>193</v>
      </c>
      <c r="E41" s="6" t="s">
        <v>199</v>
      </c>
      <c r="F41" s="4" t="s">
        <v>57</v>
      </c>
      <c r="G41" t="s">
        <v>181</v>
      </c>
      <c r="H41" t="s">
        <v>183</v>
      </c>
      <c r="I41" s="4" t="s">
        <v>94</v>
      </c>
      <c r="J41" s="8">
        <v>62</v>
      </c>
      <c r="K41" s="9">
        <v>45</v>
      </c>
      <c r="L41" s="9">
        <v>2790</v>
      </c>
      <c r="M41" s="4" t="s">
        <v>138</v>
      </c>
      <c r="N41" s="4" t="s">
        <v>140</v>
      </c>
      <c r="O41" s="4" t="s">
        <v>143</v>
      </c>
      <c r="P41">
        <f t="shared" si="1"/>
        <v>1</v>
      </c>
    </row>
    <row r="42" spans="1:16" x14ac:dyDescent="0.3">
      <c r="A42" s="4">
        <v>1041</v>
      </c>
      <c r="B42" s="6" t="s">
        <v>32</v>
      </c>
      <c r="C42">
        <v>2025</v>
      </c>
      <c r="D42" s="6" t="s">
        <v>193</v>
      </c>
      <c r="E42" s="6" t="s">
        <v>200</v>
      </c>
      <c r="F42" s="4" t="s">
        <v>48</v>
      </c>
      <c r="G42" t="s">
        <v>181</v>
      </c>
      <c r="H42" t="s">
        <v>187</v>
      </c>
      <c r="I42" s="4" t="s">
        <v>97</v>
      </c>
      <c r="J42" s="8">
        <v>66</v>
      </c>
      <c r="K42" s="9">
        <v>170</v>
      </c>
      <c r="L42" s="9">
        <v>11220</v>
      </c>
      <c r="M42" s="4" t="s">
        <v>134</v>
      </c>
      <c r="N42" s="4" t="s">
        <v>141</v>
      </c>
      <c r="O42" s="4" t="s">
        <v>143</v>
      </c>
      <c r="P42">
        <f t="shared" si="1"/>
        <v>1</v>
      </c>
    </row>
    <row r="43" spans="1:16" x14ac:dyDescent="0.3">
      <c r="A43" s="4">
        <v>1042</v>
      </c>
      <c r="B43" s="6" t="s">
        <v>32</v>
      </c>
      <c r="C43">
        <v>2025</v>
      </c>
      <c r="D43" s="6" t="s">
        <v>193</v>
      </c>
      <c r="E43" s="6" t="s">
        <v>200</v>
      </c>
      <c r="F43" s="4" t="s">
        <v>202</v>
      </c>
      <c r="G43" t="s">
        <v>180</v>
      </c>
      <c r="H43" t="s">
        <v>186</v>
      </c>
      <c r="I43" s="4" t="s">
        <v>95</v>
      </c>
      <c r="J43" s="8">
        <v>42</v>
      </c>
      <c r="K43" s="9">
        <v>180</v>
      </c>
      <c r="L43" s="9">
        <v>7560</v>
      </c>
      <c r="M43" s="4" t="s">
        <v>134</v>
      </c>
      <c r="N43" s="4" t="s">
        <v>141</v>
      </c>
      <c r="O43" s="4" t="s">
        <v>142</v>
      </c>
      <c r="P43">
        <f t="shared" si="1"/>
        <v>1</v>
      </c>
    </row>
    <row r="44" spans="1:16" x14ac:dyDescent="0.3">
      <c r="A44" s="4">
        <v>1043</v>
      </c>
      <c r="B44" s="6" t="s">
        <v>33</v>
      </c>
      <c r="C44">
        <v>2025</v>
      </c>
      <c r="D44" s="6" t="s">
        <v>193</v>
      </c>
      <c r="E44" s="6" t="s">
        <v>194</v>
      </c>
      <c r="F44" s="4" t="s">
        <v>52</v>
      </c>
      <c r="G44" t="s">
        <v>180</v>
      </c>
      <c r="H44" t="s">
        <v>189</v>
      </c>
      <c r="I44" s="4" t="s">
        <v>97</v>
      </c>
      <c r="J44" s="8">
        <v>57</v>
      </c>
      <c r="K44" s="9">
        <v>120</v>
      </c>
      <c r="L44" s="9">
        <v>6840</v>
      </c>
      <c r="M44" s="4" t="s">
        <v>137</v>
      </c>
      <c r="N44" s="4" t="s">
        <v>141</v>
      </c>
      <c r="O44" s="4" t="s">
        <v>144</v>
      </c>
      <c r="P44">
        <f t="shared" si="1"/>
        <v>1</v>
      </c>
    </row>
    <row r="45" spans="1:16" x14ac:dyDescent="0.3">
      <c r="A45" s="4">
        <v>1044</v>
      </c>
      <c r="B45" s="6" t="s">
        <v>33</v>
      </c>
      <c r="C45">
        <v>2025</v>
      </c>
      <c r="D45" s="6" t="s">
        <v>193</v>
      </c>
      <c r="E45" s="6" t="s">
        <v>194</v>
      </c>
      <c r="F45" s="4" t="s">
        <v>50</v>
      </c>
      <c r="G45" t="s">
        <v>181</v>
      </c>
      <c r="H45" t="s">
        <v>188</v>
      </c>
      <c r="I45" s="4" t="s">
        <v>96</v>
      </c>
      <c r="J45" s="8">
        <v>29</v>
      </c>
      <c r="K45" s="9">
        <v>220</v>
      </c>
      <c r="L45" s="9">
        <v>6380</v>
      </c>
      <c r="M45" s="4" t="s">
        <v>137</v>
      </c>
      <c r="N45" s="4" t="s">
        <v>140</v>
      </c>
      <c r="O45" s="4" t="s">
        <v>144</v>
      </c>
      <c r="P45">
        <f t="shared" si="1"/>
        <v>1</v>
      </c>
    </row>
    <row r="46" spans="1:16" x14ac:dyDescent="0.3">
      <c r="A46" s="4">
        <v>1045</v>
      </c>
      <c r="B46" s="6" t="s">
        <v>34</v>
      </c>
      <c r="C46">
        <v>2025</v>
      </c>
      <c r="D46" s="6" t="s">
        <v>193</v>
      </c>
      <c r="E46" s="6" t="s">
        <v>195</v>
      </c>
      <c r="F46" s="4" t="s">
        <v>57</v>
      </c>
      <c r="G46" t="s">
        <v>180</v>
      </c>
      <c r="H46" t="s">
        <v>85</v>
      </c>
      <c r="I46" s="4" t="s">
        <v>95</v>
      </c>
      <c r="J46" s="8">
        <v>72</v>
      </c>
      <c r="K46" s="9">
        <v>180</v>
      </c>
      <c r="L46" s="9">
        <v>12960</v>
      </c>
      <c r="M46" s="4" t="s">
        <v>130</v>
      </c>
      <c r="N46" s="4" t="s">
        <v>140</v>
      </c>
      <c r="O46" s="4" t="s">
        <v>142</v>
      </c>
      <c r="P46">
        <f t="shared" si="1"/>
        <v>1</v>
      </c>
    </row>
    <row r="47" spans="1:16" x14ac:dyDescent="0.3">
      <c r="A47" s="4">
        <v>1046</v>
      </c>
      <c r="B47" s="6" t="s">
        <v>34</v>
      </c>
      <c r="C47">
        <v>2025</v>
      </c>
      <c r="D47" s="6" t="s">
        <v>193</v>
      </c>
      <c r="E47" s="6" t="s">
        <v>195</v>
      </c>
      <c r="F47" s="4" t="s">
        <v>47</v>
      </c>
      <c r="G47" t="s">
        <v>181</v>
      </c>
      <c r="H47" t="s">
        <v>182</v>
      </c>
      <c r="I47" s="4" t="s">
        <v>93</v>
      </c>
      <c r="J47" s="8">
        <v>80</v>
      </c>
      <c r="K47" s="9">
        <v>750</v>
      </c>
      <c r="L47" s="9">
        <v>60000</v>
      </c>
      <c r="M47" s="4" t="s">
        <v>131</v>
      </c>
      <c r="N47" s="4" t="s">
        <v>141</v>
      </c>
      <c r="O47" s="4" t="s">
        <v>145</v>
      </c>
      <c r="P47">
        <f t="shared" si="1"/>
        <v>1</v>
      </c>
    </row>
    <row r="48" spans="1:16" x14ac:dyDescent="0.3">
      <c r="A48" s="4">
        <v>1047</v>
      </c>
      <c r="B48" s="6" t="s">
        <v>35</v>
      </c>
      <c r="C48">
        <v>2025</v>
      </c>
      <c r="D48" s="6" t="s">
        <v>193</v>
      </c>
      <c r="E48" s="6" t="s">
        <v>196</v>
      </c>
      <c r="F48" s="4" t="s">
        <v>202</v>
      </c>
      <c r="G48" t="s">
        <v>180</v>
      </c>
      <c r="H48" t="s">
        <v>187</v>
      </c>
      <c r="I48" s="4" t="s">
        <v>97</v>
      </c>
      <c r="J48" s="8">
        <v>101</v>
      </c>
      <c r="K48" s="9">
        <v>170</v>
      </c>
      <c r="L48" s="9">
        <v>17170</v>
      </c>
      <c r="M48" s="4" t="s">
        <v>137</v>
      </c>
      <c r="N48" s="4" t="s">
        <v>140</v>
      </c>
      <c r="O48" s="4" t="s">
        <v>144</v>
      </c>
      <c r="P48">
        <f t="shared" si="1"/>
        <v>1</v>
      </c>
    </row>
    <row r="49" spans="1:16" x14ac:dyDescent="0.3">
      <c r="A49" s="4">
        <v>1048</v>
      </c>
      <c r="B49" s="6" t="s">
        <v>35</v>
      </c>
      <c r="C49">
        <v>2025</v>
      </c>
      <c r="D49" s="6" t="s">
        <v>193</v>
      </c>
      <c r="E49" s="6" t="s">
        <v>196</v>
      </c>
      <c r="F49" s="4" t="s">
        <v>58</v>
      </c>
      <c r="G49" t="s">
        <v>180</v>
      </c>
      <c r="H49" t="s">
        <v>187</v>
      </c>
      <c r="I49" s="4" t="s">
        <v>97</v>
      </c>
      <c r="J49" s="8">
        <v>91</v>
      </c>
      <c r="K49" s="9">
        <v>170</v>
      </c>
      <c r="L49" s="9">
        <v>15470</v>
      </c>
      <c r="M49" s="4" t="s">
        <v>137</v>
      </c>
      <c r="N49" s="4" t="s">
        <v>141</v>
      </c>
      <c r="O49" s="4" t="s">
        <v>143</v>
      </c>
      <c r="P49">
        <f t="shared" si="1"/>
        <v>1</v>
      </c>
    </row>
    <row r="50" spans="1:16" x14ac:dyDescent="0.3">
      <c r="A50" s="4">
        <v>1049</v>
      </c>
      <c r="B50" s="6" t="s">
        <v>36</v>
      </c>
      <c r="C50">
        <v>2025</v>
      </c>
      <c r="D50" s="6" t="s">
        <v>193</v>
      </c>
      <c r="E50" s="6" t="s">
        <v>197</v>
      </c>
      <c r="F50" s="4" t="s">
        <v>49</v>
      </c>
      <c r="G50" t="s">
        <v>181</v>
      </c>
      <c r="H50" t="s">
        <v>86</v>
      </c>
      <c r="I50" s="4" t="s">
        <v>93</v>
      </c>
      <c r="J50" s="8">
        <v>51</v>
      </c>
      <c r="K50" s="9">
        <v>750</v>
      </c>
      <c r="L50" s="9">
        <v>38250</v>
      </c>
      <c r="M50" s="4" t="s">
        <v>135</v>
      </c>
      <c r="N50" s="4" t="s">
        <v>141</v>
      </c>
      <c r="O50" s="4" t="s">
        <v>142</v>
      </c>
      <c r="P50">
        <f t="shared" si="1"/>
        <v>1</v>
      </c>
    </row>
    <row r="51" spans="1:16" x14ac:dyDescent="0.3">
      <c r="A51" s="4">
        <v>1050</v>
      </c>
      <c r="B51" s="6" t="s">
        <v>36</v>
      </c>
      <c r="C51">
        <v>2025</v>
      </c>
      <c r="D51" s="6" t="s">
        <v>193</v>
      </c>
      <c r="E51" s="6" t="s">
        <v>197</v>
      </c>
      <c r="F51" s="4" t="s">
        <v>202</v>
      </c>
      <c r="G51" t="s">
        <v>180</v>
      </c>
      <c r="H51" t="s">
        <v>87</v>
      </c>
      <c r="I51" s="4" t="s">
        <v>96</v>
      </c>
      <c r="J51" s="8">
        <v>12</v>
      </c>
      <c r="K51" s="9">
        <v>220</v>
      </c>
      <c r="L51" s="9">
        <v>2640</v>
      </c>
      <c r="M51" s="4" t="s">
        <v>131</v>
      </c>
      <c r="N51" s="4" t="s">
        <v>140</v>
      </c>
      <c r="O51" s="4" t="s">
        <v>142</v>
      </c>
      <c r="P51">
        <f t="shared" si="1"/>
        <v>1</v>
      </c>
    </row>
    <row r="52" spans="1:16" x14ac:dyDescent="0.3">
      <c r="A52" s="4">
        <v>1051</v>
      </c>
      <c r="B52" s="6" t="s">
        <v>37</v>
      </c>
      <c r="C52">
        <v>2025</v>
      </c>
      <c r="D52" s="6" t="s">
        <v>193</v>
      </c>
      <c r="E52" s="6" t="s">
        <v>198</v>
      </c>
      <c r="F52" s="4" t="s">
        <v>51</v>
      </c>
      <c r="G52" t="s">
        <v>180</v>
      </c>
      <c r="H52" t="s">
        <v>184</v>
      </c>
      <c r="I52" s="4" t="s">
        <v>95</v>
      </c>
      <c r="J52" s="8">
        <v>25</v>
      </c>
      <c r="K52" s="9">
        <v>250</v>
      </c>
      <c r="L52" s="9">
        <v>6250</v>
      </c>
      <c r="M52" s="4" t="s">
        <v>139</v>
      </c>
      <c r="N52" s="4" t="s">
        <v>140</v>
      </c>
      <c r="O52" s="4" t="s">
        <v>144</v>
      </c>
      <c r="P52">
        <f t="shared" si="1"/>
        <v>1</v>
      </c>
    </row>
    <row r="53" spans="1:16" x14ac:dyDescent="0.3">
      <c r="A53" s="4">
        <v>1052</v>
      </c>
      <c r="B53" s="6" t="s">
        <v>37</v>
      </c>
      <c r="C53">
        <v>2025</v>
      </c>
      <c r="D53" s="6" t="s">
        <v>193</v>
      </c>
      <c r="E53" s="6" t="s">
        <v>198</v>
      </c>
      <c r="F53" s="4" t="s">
        <v>51</v>
      </c>
      <c r="G53" t="s">
        <v>180</v>
      </c>
      <c r="H53" t="s">
        <v>183</v>
      </c>
      <c r="I53" s="4" t="s">
        <v>94</v>
      </c>
      <c r="J53" s="8">
        <v>71</v>
      </c>
      <c r="K53" s="9">
        <v>45</v>
      </c>
      <c r="L53" s="9">
        <v>3195</v>
      </c>
      <c r="M53" s="4" t="s">
        <v>133</v>
      </c>
      <c r="N53" s="4" t="s">
        <v>141</v>
      </c>
      <c r="O53" s="4" t="s">
        <v>142</v>
      </c>
      <c r="P53">
        <f t="shared" si="1"/>
        <v>1</v>
      </c>
    </row>
    <row r="54" spans="1:16" x14ac:dyDescent="0.3">
      <c r="A54" s="4">
        <v>1053</v>
      </c>
      <c r="B54" s="6" t="s">
        <v>38</v>
      </c>
      <c r="C54">
        <v>2025</v>
      </c>
      <c r="D54" s="6" t="s">
        <v>193</v>
      </c>
      <c r="E54" s="6" t="s">
        <v>199</v>
      </c>
      <c r="F54" s="4" t="s">
        <v>57</v>
      </c>
      <c r="G54" t="s">
        <v>180</v>
      </c>
      <c r="H54" t="s">
        <v>186</v>
      </c>
      <c r="I54" s="4" t="s">
        <v>95</v>
      </c>
      <c r="J54" s="8">
        <v>85</v>
      </c>
      <c r="K54" s="9">
        <v>180</v>
      </c>
      <c r="L54" s="9">
        <v>15300</v>
      </c>
      <c r="M54" s="4" t="s">
        <v>133</v>
      </c>
      <c r="N54" s="4" t="s">
        <v>141</v>
      </c>
      <c r="O54" s="4" t="s">
        <v>142</v>
      </c>
      <c r="P54">
        <f t="shared" si="1"/>
        <v>1</v>
      </c>
    </row>
    <row r="55" spans="1:16" x14ac:dyDescent="0.3">
      <c r="A55" s="4">
        <v>1054</v>
      </c>
      <c r="B55" s="6" t="s">
        <v>38</v>
      </c>
      <c r="C55">
        <v>2025</v>
      </c>
      <c r="D55" s="6" t="s">
        <v>193</v>
      </c>
      <c r="E55" s="6" t="s">
        <v>199</v>
      </c>
      <c r="F55" s="4" t="s">
        <v>47</v>
      </c>
      <c r="G55" t="s">
        <v>181</v>
      </c>
      <c r="H55" t="s">
        <v>182</v>
      </c>
      <c r="I55" s="4" t="s">
        <v>93</v>
      </c>
      <c r="J55" s="8">
        <v>114</v>
      </c>
      <c r="K55" s="9">
        <v>750</v>
      </c>
      <c r="L55" s="9">
        <v>85500</v>
      </c>
      <c r="M55" s="4" t="s">
        <v>130</v>
      </c>
      <c r="N55" s="4" t="s">
        <v>140</v>
      </c>
      <c r="O55" s="4" t="s">
        <v>143</v>
      </c>
      <c r="P55">
        <f t="shared" si="1"/>
        <v>1</v>
      </c>
    </row>
    <row r="56" spans="1:16" x14ac:dyDescent="0.3">
      <c r="A56" s="4">
        <v>1055</v>
      </c>
      <c r="B56" s="6" t="s">
        <v>39</v>
      </c>
      <c r="C56">
        <v>2025</v>
      </c>
      <c r="D56" s="6" t="s">
        <v>193</v>
      </c>
      <c r="E56" s="6" t="s">
        <v>200</v>
      </c>
      <c r="F56" s="4" t="s">
        <v>56</v>
      </c>
      <c r="G56" t="s">
        <v>180</v>
      </c>
      <c r="H56" t="s">
        <v>185</v>
      </c>
      <c r="I56" s="4" t="s">
        <v>96</v>
      </c>
      <c r="J56" s="8">
        <v>55</v>
      </c>
      <c r="K56" s="9">
        <v>320</v>
      </c>
      <c r="L56" s="9">
        <v>17600</v>
      </c>
      <c r="M56" s="4" t="s">
        <v>130</v>
      </c>
      <c r="N56" s="4" t="s">
        <v>140</v>
      </c>
      <c r="O56" s="4" t="s">
        <v>144</v>
      </c>
      <c r="P56">
        <f t="shared" si="1"/>
        <v>1</v>
      </c>
    </row>
    <row r="57" spans="1:16" x14ac:dyDescent="0.3">
      <c r="A57" s="4">
        <v>1056</v>
      </c>
      <c r="B57" s="6" t="s">
        <v>39</v>
      </c>
      <c r="C57">
        <v>2025</v>
      </c>
      <c r="D57" s="6" t="s">
        <v>193</v>
      </c>
      <c r="E57" s="6" t="s">
        <v>200</v>
      </c>
      <c r="F57" s="4" t="s">
        <v>57</v>
      </c>
      <c r="G57" t="s">
        <v>180</v>
      </c>
      <c r="H57" t="s">
        <v>184</v>
      </c>
      <c r="I57" s="4" t="s">
        <v>95</v>
      </c>
      <c r="J57" s="8">
        <v>73</v>
      </c>
      <c r="K57" s="9">
        <v>250</v>
      </c>
      <c r="L57" s="9">
        <v>18250</v>
      </c>
      <c r="M57" s="4" t="s">
        <v>131</v>
      </c>
      <c r="N57" s="4" t="s">
        <v>141</v>
      </c>
      <c r="O57" s="4" t="s">
        <v>145</v>
      </c>
      <c r="P57">
        <f t="shared" si="1"/>
        <v>1</v>
      </c>
    </row>
    <row r="58" spans="1:16" x14ac:dyDescent="0.3">
      <c r="A58" s="4">
        <v>1057</v>
      </c>
      <c r="B58" s="6" t="s">
        <v>40</v>
      </c>
      <c r="C58">
        <v>2025</v>
      </c>
      <c r="D58" s="6" t="s">
        <v>193</v>
      </c>
      <c r="E58" s="6" t="s">
        <v>194</v>
      </c>
      <c r="F58" s="4" t="s">
        <v>53</v>
      </c>
      <c r="G58" t="s">
        <v>181</v>
      </c>
      <c r="H58" t="s">
        <v>182</v>
      </c>
      <c r="I58" s="4" t="s">
        <v>93</v>
      </c>
      <c r="J58" s="8">
        <v>146</v>
      </c>
      <c r="K58" s="9">
        <v>750</v>
      </c>
      <c r="L58" s="9">
        <v>109500</v>
      </c>
      <c r="M58" s="4" t="s">
        <v>134</v>
      </c>
      <c r="N58" s="4" t="s">
        <v>140</v>
      </c>
      <c r="O58" s="4" t="s">
        <v>145</v>
      </c>
      <c r="P58">
        <f t="shared" si="1"/>
        <v>1</v>
      </c>
    </row>
    <row r="59" spans="1:16" x14ac:dyDescent="0.3">
      <c r="A59" s="4">
        <v>1058</v>
      </c>
      <c r="B59" s="6" t="s">
        <v>40</v>
      </c>
      <c r="C59">
        <v>2025</v>
      </c>
      <c r="D59" s="6" t="s">
        <v>193</v>
      </c>
      <c r="E59" s="6" t="s">
        <v>194</v>
      </c>
      <c r="F59" s="4" t="s">
        <v>50</v>
      </c>
      <c r="G59" t="s">
        <v>181</v>
      </c>
      <c r="H59" t="s">
        <v>86</v>
      </c>
      <c r="I59" s="4" t="s">
        <v>93</v>
      </c>
      <c r="J59" s="8">
        <v>97</v>
      </c>
      <c r="K59" s="9">
        <v>750</v>
      </c>
      <c r="L59" s="9">
        <v>72750</v>
      </c>
      <c r="M59" s="4" t="s">
        <v>135</v>
      </c>
      <c r="N59" s="4" t="s">
        <v>141</v>
      </c>
      <c r="O59" s="4" t="s">
        <v>142</v>
      </c>
      <c r="P59">
        <f t="shared" si="1"/>
        <v>1</v>
      </c>
    </row>
    <row r="60" spans="1:16" x14ac:dyDescent="0.3">
      <c r="A60" s="4">
        <v>1059</v>
      </c>
      <c r="B60" s="6" t="s">
        <v>41</v>
      </c>
      <c r="C60">
        <v>2025</v>
      </c>
      <c r="D60" s="6" t="s">
        <v>201</v>
      </c>
      <c r="E60" s="6" t="s">
        <v>195</v>
      </c>
      <c r="F60" s="4" t="s">
        <v>51</v>
      </c>
      <c r="G60" t="s">
        <v>180</v>
      </c>
      <c r="H60" t="s">
        <v>187</v>
      </c>
      <c r="I60" s="4" t="s">
        <v>97</v>
      </c>
      <c r="J60" s="8">
        <v>82</v>
      </c>
      <c r="K60" s="9">
        <v>170</v>
      </c>
      <c r="L60" s="9">
        <v>13940</v>
      </c>
      <c r="M60" s="4" t="s">
        <v>135</v>
      </c>
      <c r="N60" s="4" t="s">
        <v>140</v>
      </c>
      <c r="O60" s="4" t="s">
        <v>144</v>
      </c>
      <c r="P60">
        <f t="shared" si="1"/>
        <v>1</v>
      </c>
    </row>
    <row r="61" spans="1:16" x14ac:dyDescent="0.3">
      <c r="A61" s="4">
        <v>1060</v>
      </c>
      <c r="B61" s="6" t="s">
        <v>41</v>
      </c>
      <c r="C61">
        <v>2025</v>
      </c>
      <c r="D61" s="6" t="s">
        <v>201</v>
      </c>
      <c r="E61" s="6" t="s">
        <v>195</v>
      </c>
      <c r="F61" s="4" t="s">
        <v>55</v>
      </c>
      <c r="G61" t="s">
        <v>180</v>
      </c>
      <c r="H61" t="s">
        <v>186</v>
      </c>
      <c r="I61" s="4" t="s">
        <v>95</v>
      </c>
      <c r="J61" s="8">
        <v>59</v>
      </c>
      <c r="K61" s="9">
        <v>180</v>
      </c>
      <c r="L61" s="9">
        <v>10620</v>
      </c>
      <c r="M61" s="4" t="s">
        <v>134</v>
      </c>
      <c r="N61" s="4" t="s">
        <v>141</v>
      </c>
      <c r="O61" s="4" t="s">
        <v>145</v>
      </c>
      <c r="P61">
        <f t="shared" si="1"/>
        <v>1</v>
      </c>
    </row>
    <row r="62" spans="1:16" x14ac:dyDescent="0.3">
      <c r="A62" s="4">
        <v>1061</v>
      </c>
      <c r="B62" s="6" t="s">
        <v>42</v>
      </c>
      <c r="C62">
        <v>2025</v>
      </c>
      <c r="D62" s="6" t="s">
        <v>201</v>
      </c>
      <c r="E62" s="6" t="s">
        <v>196</v>
      </c>
      <c r="F62" s="4" t="s">
        <v>53</v>
      </c>
      <c r="G62" t="s">
        <v>181</v>
      </c>
      <c r="H62" t="s">
        <v>186</v>
      </c>
      <c r="I62" s="4" t="s">
        <v>95</v>
      </c>
      <c r="J62" s="8">
        <v>23</v>
      </c>
      <c r="K62" s="9">
        <v>180</v>
      </c>
      <c r="L62" s="9">
        <v>4140</v>
      </c>
      <c r="M62" s="4" t="s">
        <v>130</v>
      </c>
      <c r="N62" s="4" t="s">
        <v>141</v>
      </c>
      <c r="O62" s="4" t="s">
        <v>144</v>
      </c>
      <c r="P62">
        <f t="shared" si="1"/>
        <v>1</v>
      </c>
    </row>
    <row r="63" spans="1:16" x14ac:dyDescent="0.3">
      <c r="A63" s="4">
        <v>1062</v>
      </c>
      <c r="B63" s="6" t="s">
        <v>42</v>
      </c>
      <c r="C63">
        <v>2025</v>
      </c>
      <c r="D63" s="6" t="s">
        <v>201</v>
      </c>
      <c r="E63" s="6" t="s">
        <v>196</v>
      </c>
      <c r="F63" s="4" t="s">
        <v>55</v>
      </c>
      <c r="G63" t="s">
        <v>181</v>
      </c>
      <c r="H63" t="s">
        <v>188</v>
      </c>
      <c r="I63" s="4" t="s">
        <v>96</v>
      </c>
      <c r="J63" s="8">
        <v>55</v>
      </c>
      <c r="K63" s="9">
        <v>220</v>
      </c>
      <c r="L63" s="9">
        <v>12100</v>
      </c>
      <c r="M63" s="4" t="s">
        <v>132</v>
      </c>
      <c r="N63" s="4" t="s">
        <v>140</v>
      </c>
      <c r="O63" s="4" t="s">
        <v>143</v>
      </c>
      <c r="P63">
        <f t="shared" si="1"/>
        <v>1</v>
      </c>
    </row>
    <row r="64" spans="1:16" x14ac:dyDescent="0.3">
      <c r="A64" s="4">
        <v>1063</v>
      </c>
      <c r="B64" s="6" t="s">
        <v>43</v>
      </c>
      <c r="C64">
        <v>2025</v>
      </c>
      <c r="D64" s="6" t="s">
        <v>201</v>
      </c>
      <c r="E64" s="6" t="s">
        <v>197</v>
      </c>
      <c r="F64" s="4" t="s">
        <v>50</v>
      </c>
      <c r="G64" t="s">
        <v>181</v>
      </c>
      <c r="H64" t="s">
        <v>85</v>
      </c>
      <c r="I64" s="4" t="s">
        <v>95</v>
      </c>
      <c r="J64" s="8">
        <v>79</v>
      </c>
      <c r="K64" s="9">
        <v>180</v>
      </c>
      <c r="L64" s="9">
        <v>14220</v>
      </c>
      <c r="M64" s="4" t="s">
        <v>203</v>
      </c>
      <c r="N64" s="4" t="s">
        <v>140</v>
      </c>
      <c r="O64" s="4" t="s">
        <v>144</v>
      </c>
      <c r="P64">
        <f t="shared" si="1"/>
        <v>1</v>
      </c>
    </row>
    <row r="65" spans="1:16" x14ac:dyDescent="0.3">
      <c r="A65" s="4">
        <v>1064</v>
      </c>
      <c r="B65" s="6" t="s">
        <v>43</v>
      </c>
      <c r="C65">
        <v>2025</v>
      </c>
      <c r="D65" s="6" t="s">
        <v>201</v>
      </c>
      <c r="E65" s="6" t="s">
        <v>197</v>
      </c>
      <c r="F65" s="4" t="s">
        <v>50</v>
      </c>
      <c r="G65" t="s">
        <v>181</v>
      </c>
      <c r="H65" t="s">
        <v>87</v>
      </c>
      <c r="I65" s="4" t="s">
        <v>96</v>
      </c>
      <c r="J65" s="8">
        <v>12</v>
      </c>
      <c r="K65" s="9">
        <v>220</v>
      </c>
      <c r="L65" s="9">
        <v>2640</v>
      </c>
      <c r="M65" s="4" t="s">
        <v>139</v>
      </c>
      <c r="N65" s="4" t="s">
        <v>140</v>
      </c>
      <c r="O65" s="4" t="s">
        <v>143</v>
      </c>
      <c r="P65">
        <f t="shared" si="1"/>
        <v>1</v>
      </c>
    </row>
    <row r="66" spans="1:16" x14ac:dyDescent="0.3">
      <c r="A66" s="4">
        <v>1065</v>
      </c>
      <c r="B66" s="6" t="s">
        <v>44</v>
      </c>
      <c r="C66">
        <v>2025</v>
      </c>
      <c r="D66" s="6" t="s">
        <v>201</v>
      </c>
      <c r="E66" s="6" t="s">
        <v>198</v>
      </c>
      <c r="F66" s="4" t="s">
        <v>56</v>
      </c>
      <c r="G66" t="s">
        <v>180</v>
      </c>
      <c r="H66" t="s">
        <v>188</v>
      </c>
      <c r="I66" s="4" t="s">
        <v>96</v>
      </c>
      <c r="J66" s="8">
        <v>120</v>
      </c>
      <c r="K66" s="9">
        <v>220</v>
      </c>
      <c r="L66" s="9">
        <v>26400</v>
      </c>
      <c r="M66" s="4" t="s">
        <v>133</v>
      </c>
      <c r="N66" s="4" t="s">
        <v>141</v>
      </c>
      <c r="O66" s="4" t="s">
        <v>145</v>
      </c>
      <c r="P66">
        <f t="shared" ref="P66:P76" si="2">COUNTIFS($A:$A,$A66,$B:$B,$B66,$F:$F,$F66,$G:$G,$G66,$H:$H,$H66,$I:$I,$I66,$J:$J,$J66,$K:$K,$K66,$L:$L,$L66,$M:$M,$M66,$N:$N,$N66,$O:$O,$O66)</f>
        <v>1</v>
      </c>
    </row>
    <row r="67" spans="1:16" x14ac:dyDescent="0.3">
      <c r="A67" s="4">
        <v>1066</v>
      </c>
      <c r="B67" s="6" t="s">
        <v>44</v>
      </c>
      <c r="C67">
        <v>2025</v>
      </c>
      <c r="D67" s="6" t="s">
        <v>201</v>
      </c>
      <c r="E67" s="6" t="s">
        <v>198</v>
      </c>
      <c r="F67" s="4" t="s">
        <v>48</v>
      </c>
      <c r="G67" t="s">
        <v>180</v>
      </c>
      <c r="H67" t="s">
        <v>182</v>
      </c>
      <c r="I67" s="4" t="s">
        <v>93</v>
      </c>
      <c r="J67" s="8">
        <v>107</v>
      </c>
      <c r="K67" s="9">
        <v>750</v>
      </c>
      <c r="L67" s="9">
        <v>80250</v>
      </c>
      <c r="M67" s="4" t="s">
        <v>130</v>
      </c>
      <c r="N67" s="4" t="s">
        <v>140</v>
      </c>
      <c r="O67" s="4" t="s">
        <v>144</v>
      </c>
      <c r="P67">
        <f t="shared" si="2"/>
        <v>1</v>
      </c>
    </row>
    <row r="68" spans="1:16" x14ac:dyDescent="0.3">
      <c r="A68" s="4">
        <v>1067</v>
      </c>
      <c r="B68" s="6" t="s">
        <v>45</v>
      </c>
      <c r="C68">
        <v>2025</v>
      </c>
      <c r="D68" s="6" t="s">
        <v>201</v>
      </c>
      <c r="E68" s="6" t="s">
        <v>199</v>
      </c>
      <c r="F68" s="4" t="s">
        <v>47</v>
      </c>
      <c r="G68" t="s">
        <v>180</v>
      </c>
      <c r="H68" t="s">
        <v>187</v>
      </c>
      <c r="I68" s="4" t="s">
        <v>97</v>
      </c>
      <c r="J68" s="8">
        <v>40</v>
      </c>
      <c r="K68" s="9">
        <v>170</v>
      </c>
      <c r="L68" s="9">
        <v>6800</v>
      </c>
      <c r="M68" s="4" t="s">
        <v>203</v>
      </c>
      <c r="N68" s="4" t="s">
        <v>141</v>
      </c>
      <c r="O68" s="4" t="s">
        <v>143</v>
      </c>
      <c r="P68">
        <f t="shared" si="2"/>
        <v>1</v>
      </c>
    </row>
    <row r="69" spans="1:16" x14ac:dyDescent="0.3">
      <c r="A69" s="4">
        <v>1068</v>
      </c>
      <c r="B69" s="6" t="s">
        <v>45</v>
      </c>
      <c r="C69">
        <v>2025</v>
      </c>
      <c r="D69" s="6" t="s">
        <v>201</v>
      </c>
      <c r="E69" s="6" t="s">
        <v>199</v>
      </c>
      <c r="F69" s="4" t="s">
        <v>50</v>
      </c>
      <c r="G69" t="s">
        <v>180</v>
      </c>
      <c r="H69" t="s">
        <v>189</v>
      </c>
      <c r="I69" s="4" t="s">
        <v>97</v>
      </c>
      <c r="J69" s="8">
        <v>127</v>
      </c>
      <c r="K69" s="9">
        <v>120</v>
      </c>
      <c r="L69" s="9">
        <v>15240</v>
      </c>
      <c r="M69" s="4" t="s">
        <v>134</v>
      </c>
      <c r="N69" s="4" t="s">
        <v>140</v>
      </c>
      <c r="O69" s="4" t="s">
        <v>142</v>
      </c>
      <c r="P69">
        <f t="shared" si="2"/>
        <v>1</v>
      </c>
    </row>
    <row r="70" spans="1:16" x14ac:dyDescent="0.3">
      <c r="A70" s="4">
        <v>1069</v>
      </c>
      <c r="B70" s="6" t="s">
        <v>46</v>
      </c>
      <c r="C70">
        <v>2025</v>
      </c>
      <c r="D70" s="6" t="s">
        <v>201</v>
      </c>
      <c r="E70" s="6" t="s">
        <v>200</v>
      </c>
      <c r="F70" s="4" t="s">
        <v>202</v>
      </c>
      <c r="G70" t="s">
        <v>180</v>
      </c>
      <c r="H70" t="s">
        <v>186</v>
      </c>
      <c r="I70" s="4" t="s">
        <v>95</v>
      </c>
      <c r="J70" s="8">
        <v>66</v>
      </c>
      <c r="K70" s="9">
        <v>180</v>
      </c>
      <c r="L70" s="9">
        <v>11880</v>
      </c>
      <c r="M70" s="4" t="s">
        <v>203</v>
      </c>
      <c r="N70" s="4" t="s">
        <v>140</v>
      </c>
      <c r="O70" s="4" t="s">
        <v>144</v>
      </c>
      <c r="P70">
        <f t="shared" si="2"/>
        <v>1</v>
      </c>
    </row>
    <row r="71" spans="1:16" x14ac:dyDescent="0.3">
      <c r="A71" s="4">
        <v>1070</v>
      </c>
      <c r="B71" s="6" t="s">
        <v>46</v>
      </c>
      <c r="C71">
        <v>2025</v>
      </c>
      <c r="D71" s="6" t="s">
        <v>201</v>
      </c>
      <c r="E71" s="6" t="s">
        <v>200</v>
      </c>
      <c r="F71" s="4" t="s">
        <v>53</v>
      </c>
      <c r="G71" t="s">
        <v>180</v>
      </c>
      <c r="H71" t="s">
        <v>188</v>
      </c>
      <c r="I71" s="4" t="s">
        <v>96</v>
      </c>
      <c r="J71" s="8">
        <v>105</v>
      </c>
      <c r="K71" s="9">
        <v>220</v>
      </c>
      <c r="L71" s="9">
        <v>23100</v>
      </c>
      <c r="M71" s="4" t="s">
        <v>137</v>
      </c>
      <c r="N71" s="4" t="s">
        <v>140</v>
      </c>
      <c r="O71" s="4" t="s">
        <v>144</v>
      </c>
      <c r="P71">
        <f t="shared" si="2"/>
        <v>1</v>
      </c>
    </row>
    <row r="72" spans="1:16" x14ac:dyDescent="0.3">
      <c r="A72" s="4">
        <v>1040</v>
      </c>
      <c r="B72" s="6" t="s">
        <v>31</v>
      </c>
      <c r="C72">
        <v>2025</v>
      </c>
      <c r="D72" s="6" t="s">
        <v>193</v>
      </c>
      <c r="E72" s="6" t="s">
        <v>199</v>
      </c>
      <c r="F72" s="4" t="s">
        <v>57</v>
      </c>
      <c r="G72" t="s">
        <v>180</v>
      </c>
      <c r="H72" t="s">
        <v>183</v>
      </c>
      <c r="I72" s="4" t="s">
        <v>94</v>
      </c>
      <c r="J72" s="8">
        <v>62</v>
      </c>
      <c r="K72" s="9">
        <v>45</v>
      </c>
      <c r="L72" s="9">
        <v>2790</v>
      </c>
      <c r="M72" s="4" t="s">
        <v>138</v>
      </c>
      <c r="N72" s="4" t="s">
        <v>140</v>
      </c>
      <c r="O72" s="4" t="s">
        <v>143</v>
      </c>
      <c r="P72">
        <f t="shared" si="2"/>
        <v>1</v>
      </c>
    </row>
    <row r="73" spans="1:16" x14ac:dyDescent="0.3">
      <c r="A73" s="4">
        <v>1067</v>
      </c>
      <c r="B73" s="6" t="s">
        <v>45</v>
      </c>
      <c r="C73">
        <v>2025</v>
      </c>
      <c r="D73" s="6" t="s">
        <v>201</v>
      </c>
      <c r="E73" s="6" t="s">
        <v>199</v>
      </c>
      <c r="F73" s="4" t="s">
        <v>47</v>
      </c>
      <c r="G73" t="s">
        <v>181</v>
      </c>
      <c r="H73" t="s">
        <v>187</v>
      </c>
      <c r="I73" s="4" t="s">
        <v>97</v>
      </c>
      <c r="J73" s="8">
        <v>40</v>
      </c>
      <c r="K73" s="9">
        <f>L73/J73</f>
        <v>170</v>
      </c>
      <c r="L73" s="9">
        <v>6800</v>
      </c>
      <c r="M73" s="4" t="s">
        <v>133</v>
      </c>
      <c r="N73" s="4" t="s">
        <v>141</v>
      </c>
      <c r="O73" s="4" t="s">
        <v>143</v>
      </c>
      <c r="P73">
        <f t="shared" si="2"/>
        <v>1</v>
      </c>
    </row>
    <row r="74" spans="1:16" x14ac:dyDescent="0.3">
      <c r="A74" s="4">
        <v>1042</v>
      </c>
      <c r="B74" s="6" t="s">
        <v>32</v>
      </c>
      <c r="C74">
        <v>2025</v>
      </c>
      <c r="D74" s="6" t="s">
        <v>193</v>
      </c>
      <c r="E74" s="6" t="s">
        <v>200</v>
      </c>
      <c r="F74" s="4" t="s">
        <v>202</v>
      </c>
      <c r="G74" t="s">
        <v>181</v>
      </c>
      <c r="H74" t="s">
        <v>186</v>
      </c>
      <c r="I74" s="4" t="s">
        <v>95</v>
      </c>
      <c r="J74" s="8">
        <v>42</v>
      </c>
      <c r="K74" s="9">
        <v>180</v>
      </c>
      <c r="L74" s="9">
        <v>7560</v>
      </c>
      <c r="M74" s="4" t="s">
        <v>203</v>
      </c>
      <c r="N74" s="4" t="s">
        <v>141</v>
      </c>
      <c r="O74" s="4" t="s">
        <v>142</v>
      </c>
      <c r="P74">
        <f t="shared" si="2"/>
        <v>1</v>
      </c>
    </row>
    <row r="75" spans="1:16" x14ac:dyDescent="0.3">
      <c r="A75" s="4">
        <v>1063</v>
      </c>
      <c r="B75" s="6" t="s">
        <v>43</v>
      </c>
      <c r="C75">
        <v>2025</v>
      </c>
      <c r="D75" s="6" t="s">
        <v>201</v>
      </c>
      <c r="E75" s="6" t="s">
        <v>197</v>
      </c>
      <c r="F75" s="4" t="s">
        <v>50</v>
      </c>
      <c r="G75" t="s">
        <v>180</v>
      </c>
      <c r="H75" t="s">
        <v>85</v>
      </c>
      <c r="I75" s="4" t="s">
        <v>95</v>
      </c>
      <c r="J75" s="8">
        <v>79</v>
      </c>
      <c r="K75" s="9">
        <v>180</v>
      </c>
      <c r="L75" s="9">
        <v>14220</v>
      </c>
      <c r="M75" s="4" t="s">
        <v>130</v>
      </c>
      <c r="N75" s="4" t="s">
        <v>140</v>
      </c>
      <c r="O75" s="4" t="s">
        <v>144</v>
      </c>
      <c r="P75">
        <f t="shared" si="2"/>
        <v>1</v>
      </c>
    </row>
    <row r="76" spans="1:16" x14ac:dyDescent="0.3">
      <c r="A76" s="4">
        <v>1037</v>
      </c>
      <c r="B76" s="6" t="s">
        <v>30</v>
      </c>
      <c r="C76">
        <v>2025</v>
      </c>
      <c r="D76" s="6" t="s">
        <v>193</v>
      </c>
      <c r="E76" s="6" t="s">
        <v>198</v>
      </c>
      <c r="F76" s="4" t="s">
        <v>53</v>
      </c>
      <c r="G76" t="s">
        <v>180</v>
      </c>
      <c r="H76" t="s">
        <v>183</v>
      </c>
      <c r="I76" s="4" t="s">
        <v>94</v>
      </c>
      <c r="J76" s="8">
        <v>28</v>
      </c>
      <c r="K76" s="9">
        <v>45</v>
      </c>
      <c r="L76" s="9">
        <v>1260</v>
      </c>
      <c r="M76" s="4" t="s">
        <v>137</v>
      </c>
      <c r="N76" s="4" t="s">
        <v>141</v>
      </c>
      <c r="O76" s="4" t="s">
        <v>143</v>
      </c>
      <c r="P76">
        <f t="shared" si="2"/>
        <v>1</v>
      </c>
    </row>
    <row r="77" spans="1:16" x14ac:dyDescent="0.3">
      <c r="A77"/>
      <c r="B77"/>
      <c r="C77" s="15"/>
      <c r="D77"/>
      <c r="E77"/>
      <c r="F77"/>
      <c r="G77"/>
      <c r="I77"/>
      <c r="J77"/>
      <c r="K77"/>
      <c r="L77"/>
      <c r="M77"/>
      <c r="N77"/>
      <c r="O77"/>
    </row>
  </sheetData>
  <autoFilter ref="A1:P76" xr:uid="{E9BCCD6B-944B-483C-9A1D-DB0C63B1B5E5}"/>
  <conditionalFormatting sqref="A2:A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PRISCILLA FANAMA</cp:lastModifiedBy>
  <dcterms:created xsi:type="dcterms:W3CDTF">2025-12-12T15:39:37Z</dcterms:created>
  <dcterms:modified xsi:type="dcterms:W3CDTF">2026-10-22T07:08:58Z</dcterms:modified>
</cp:coreProperties>
</file>